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nat\Desktop\מזקקה\"/>
    </mc:Choice>
  </mc:AlternateContent>
  <xr:revisionPtr revIDLastSave="0" documentId="13_ncr:1_{A55D5021-B44C-488E-A6E4-233935E6E831}" xr6:coauthVersionLast="47" xr6:coauthVersionMax="47" xr10:uidLastSave="{00000000-0000-0000-0000-000000000000}"/>
  <bookViews>
    <workbookView xWindow="-110" yWindow="-110" windowWidth="19420" windowHeight="10300" tabRatio="782" activeTab="5" xr2:uid="{00000000-000D-0000-FFFF-FFFF00000000}"/>
  </bookViews>
  <sheets>
    <sheet name="קבלת חומרי גלם" sheetId="6" r:id="rId1"/>
    <sheet name="קבלת תמרים" sheetId="1" r:id="rId2"/>
    <sheet name="תסיסה" sheetId="2" r:id="rId3"/>
    <sheet name="זיקוק 1" sheetId="12" r:id="rId4"/>
    <sheet name="זיקוק 2" sheetId="7" r:id="rId5"/>
    <sheet name="ביקבוק" sheetId="4" r:id="rId6"/>
    <sheet name="מלאי בקבוקים" sheetId="11" r:id="rId7"/>
    <sheet name="מלאי חומרי גלם" sheetId="10" r:id="rId8"/>
    <sheet name="תבלינים" sheetId="8" r:id="rId9"/>
  </sheets>
  <externalReferences>
    <externalReference r:id="rId10"/>
  </externalReferences>
  <calcPr calcId="191029"/>
</workbook>
</file>

<file path=xl/calcChain.xml><?xml version="1.0" encoding="utf-8"?>
<calcChain xmlns="http://schemas.openxmlformats.org/spreadsheetml/2006/main">
  <c r="C53" i="2" l="1"/>
  <c r="D53" i="2"/>
  <c r="C52" i="2"/>
  <c r="D52" i="2"/>
  <c r="C51" i="2"/>
  <c r="D51" i="2"/>
  <c r="C50" i="2"/>
  <c r="D50" i="2"/>
  <c r="C49" i="2"/>
  <c r="D49" i="2"/>
  <c r="C48" i="2"/>
  <c r="D48" i="2"/>
  <c r="C47" i="2"/>
  <c r="D47" i="2"/>
  <c r="C46" i="2"/>
  <c r="D46" i="2"/>
  <c r="C45" i="2"/>
  <c r="D45" i="2"/>
  <c r="C44" i="2"/>
  <c r="D44" i="2"/>
  <c r="C43" i="2"/>
  <c r="D43" i="2"/>
  <c r="C42" i="2"/>
  <c r="D42" i="2"/>
  <c r="C41" i="2"/>
  <c r="D41" i="2"/>
  <c r="C40" i="2"/>
  <c r="D40" i="2"/>
  <c r="C39" i="2"/>
  <c r="D39" i="2"/>
  <c r="C38" i="2" l="1"/>
  <c r="D38" i="2"/>
  <c r="C37" i="2"/>
  <c r="D37" i="2"/>
  <c r="C36" i="2"/>
  <c r="D36" i="2"/>
  <c r="C35" i="2"/>
  <c r="D35" i="2"/>
  <c r="C34" i="2"/>
  <c r="D34" i="2"/>
  <c r="C33" i="2"/>
  <c r="D33" i="2"/>
  <c r="C32" i="2" l="1"/>
  <c r="D32" i="2"/>
  <c r="C31" i="2"/>
  <c r="D31" i="2"/>
  <c r="C30" i="2"/>
  <c r="D30" i="2"/>
  <c r="C29" i="2"/>
  <c r="D29" i="2"/>
  <c r="C28" i="2" l="1"/>
  <c r="D28" i="2"/>
  <c r="C27" i="2"/>
  <c r="D27" i="2"/>
  <c r="C26" i="2"/>
  <c r="D26" i="2"/>
  <c r="C24" i="2"/>
  <c r="D24" i="2"/>
  <c r="C25" i="2"/>
  <c r="D25" i="2"/>
  <c r="C23" i="2"/>
  <c r="D23" i="2"/>
  <c r="C22" i="2"/>
  <c r="D22" i="2"/>
  <c r="C21" i="2"/>
  <c r="D21" i="2"/>
  <c r="C20" i="2"/>
  <c r="D20" i="2"/>
  <c r="C17" i="2"/>
  <c r="D17" i="2"/>
  <c r="C19" i="2"/>
  <c r="D19" i="2"/>
  <c r="D13" i="2"/>
  <c r="C18" i="2"/>
  <c r="D18" i="2"/>
  <c r="D11" i="2"/>
  <c r="C6" i="11" l="1"/>
  <c r="C16" i="2"/>
  <c r="D16" i="2"/>
  <c r="C15" i="2"/>
  <c r="D15" i="2"/>
  <c r="C3" i="11"/>
  <c r="C4" i="11"/>
  <c r="C5" i="11"/>
  <c r="C7" i="11"/>
  <c r="C8" i="11"/>
  <c r="C9" i="11"/>
  <c r="C14" i="2"/>
  <c r="D14" i="2"/>
  <c r="C13" i="2"/>
  <c r="C12" i="2"/>
  <c r="D12" i="2"/>
  <c r="C11" i="2"/>
  <c r="E3" i="10"/>
  <c r="F4" i="1"/>
  <c r="C8" i="2"/>
  <c r="C9" i="2"/>
  <c r="C10" i="2"/>
  <c r="K4" i="2" l="1"/>
  <c r="C2" i="2"/>
  <c r="C3" i="2"/>
  <c r="F3" i="1"/>
  <c r="C14" i="10" l="1"/>
  <c r="C15" i="10"/>
  <c r="C16" i="10"/>
  <c r="C17" i="10"/>
  <c r="C6" i="10"/>
  <c r="E6" i="10" s="1"/>
  <c r="C7" i="10"/>
  <c r="E7" i="10" s="1"/>
  <c r="C8" i="10"/>
  <c r="E32" i="10" s="1"/>
  <c r="C9" i="10"/>
  <c r="E9" i="10" s="1"/>
  <c r="C10" i="10"/>
  <c r="C11" i="10"/>
  <c r="C12" i="10"/>
  <c r="C13" i="10"/>
  <c r="C5" i="10"/>
  <c r="E5" i="10" s="1"/>
  <c r="C26" i="10"/>
  <c r="E26" i="10" s="1"/>
  <c r="C27" i="10"/>
  <c r="E27" i="10" s="1"/>
  <c r="C28" i="10"/>
  <c r="E28" i="10" s="1"/>
  <c r="C29" i="10"/>
  <c r="E29" i="10" s="1"/>
  <c r="C30" i="10"/>
  <c r="E30" i="10" s="1"/>
  <c r="C31" i="10"/>
  <c r="E31" i="10" s="1"/>
  <c r="C32" i="10"/>
  <c r="C20" i="10"/>
  <c r="E20" i="10" s="1"/>
  <c r="C21" i="10"/>
  <c r="E21" i="10" s="1"/>
  <c r="C22" i="10"/>
  <c r="E22" i="10" s="1"/>
  <c r="C23" i="10"/>
  <c r="E23" i="10" s="1"/>
  <c r="C24" i="10"/>
  <c r="E24" i="10" s="1"/>
  <c r="C25" i="10"/>
  <c r="E25" i="10" s="1"/>
  <c r="C19" i="10"/>
  <c r="E19" i="10" s="1"/>
  <c r="C53" i="10"/>
  <c r="C51" i="10"/>
  <c r="C52" i="10"/>
  <c r="C50" i="10"/>
  <c r="C47" i="10"/>
  <c r="E47" i="10" s="1"/>
  <c r="C48" i="10"/>
  <c r="E48" i="10" s="1"/>
  <c r="C46" i="10"/>
  <c r="E46" i="10" s="1"/>
  <c r="C45" i="10"/>
  <c r="E45" i="10" s="1"/>
  <c r="C40" i="10"/>
  <c r="E40" i="10" s="1"/>
  <c r="C41" i="10"/>
  <c r="E41" i="10" s="1"/>
  <c r="C42" i="10"/>
  <c r="E42" i="10" s="1"/>
  <c r="C43" i="10"/>
  <c r="E43" i="10" s="1"/>
  <c r="C44" i="10"/>
  <c r="E44" i="10" s="1"/>
  <c r="C39" i="10"/>
  <c r="E39" i="10" s="1"/>
  <c r="C37" i="10"/>
  <c r="E37" i="10" s="1"/>
  <c r="C35" i="10"/>
  <c r="E35" i="10" s="1"/>
  <c r="C34" i="10"/>
  <c r="E34" i="10" s="1"/>
  <c r="D4" i="2"/>
  <c r="D5" i="2"/>
  <c r="D6" i="2"/>
  <c r="D7" i="2"/>
  <c r="D8" i="2"/>
  <c r="D9" i="2"/>
  <c r="D10" i="2"/>
  <c r="N2" i="12"/>
  <c r="C4" i="2"/>
  <c r="C5" i="2"/>
  <c r="C6" i="2"/>
  <c r="C7" i="2"/>
  <c r="F97" i="1"/>
  <c r="F96" i="1"/>
  <c r="F95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2" i="1"/>
  <c r="D25" i="8"/>
  <c r="D24" i="8"/>
  <c r="D23" i="8"/>
  <c r="D22" i="8"/>
  <c r="D19" i="8"/>
  <c r="D18" i="8"/>
  <c r="D17" i="8"/>
  <c r="D16" i="8"/>
  <c r="D15" i="8"/>
  <c r="D14" i="8"/>
  <c r="D13" i="8"/>
  <c r="D12" i="8"/>
  <c r="D11" i="8"/>
  <c r="D10" i="8"/>
  <c r="D7" i="8"/>
  <c r="D4" i="8"/>
  <c r="D3" i="8"/>
  <c r="K2" i="2" l="1"/>
  <c r="E8" i="10"/>
  <c r="H2" i="1"/>
  <c r="F98" i="1"/>
  <c r="E2" i="10" l="1"/>
</calcChain>
</file>

<file path=xl/sharedStrings.xml><?xml version="1.0" encoding="utf-8"?>
<sst xmlns="http://schemas.openxmlformats.org/spreadsheetml/2006/main" count="2070" uniqueCount="584">
  <si>
    <t>שם הספק</t>
  </si>
  <si>
    <t>תאריך קבלה</t>
  </si>
  <si>
    <t>סוג חומר הגלם</t>
  </si>
  <si>
    <t>מספר אצווה (Batch)</t>
  </si>
  <si>
    <t>תוקף חומר הגלם</t>
  </si>
  <si>
    <t>תאריך</t>
  </si>
  <si>
    <t>טמפרטורה (°C)</t>
  </si>
  <si>
    <t>pH</t>
  </si>
  <si>
    <t>הערות</t>
  </si>
  <si>
    <t>ריכוז אלכוהול (%)</t>
  </si>
  <si>
    <t>זמן (דקות)</t>
  </si>
  <si>
    <t>צבע</t>
  </si>
  <si>
    <t>טעם וריח</t>
  </si>
  <si>
    <t>היעדר מזהמים</t>
  </si>
  <si>
    <t>החלטה</t>
  </si>
  <si>
    <t>כמות סוכרים</t>
  </si>
  <si>
    <t>כמות (ליטר)</t>
  </si>
  <si>
    <t>שנה</t>
  </si>
  <si>
    <t>סוג</t>
  </si>
  <si>
    <t>\</t>
  </si>
  <si>
    <t>07:00-13:30</t>
  </si>
  <si>
    <t>תאריך בקבוק</t>
  </si>
  <si>
    <t>26.12.2024</t>
  </si>
  <si>
    <t>תקין</t>
  </si>
  <si>
    <t>כן</t>
  </si>
  <si>
    <t>מאושר</t>
  </si>
  <si>
    <t>יון!</t>
  </si>
  <si>
    <t>תאריך זיקוק 2</t>
  </si>
  <si>
    <t>ריכוז אלכוהול 
התחלתי (%)</t>
  </si>
  <si>
    <t>23.12.2024</t>
  </si>
  <si>
    <r>
      <t xml:space="preserve">הפרדת ראש
</t>
    </r>
    <r>
      <rPr>
        <sz val="11"/>
        <color theme="1"/>
        <rFont val="Arial"/>
        <family val="2"/>
        <scheme val="minor"/>
      </rPr>
      <t>5 ל</t>
    </r>
  </si>
  <si>
    <t>07:00-15:15</t>
  </si>
  <si>
    <t>ג'ין</t>
  </si>
  <si>
    <t>זנבות ג'ין</t>
  </si>
  <si>
    <t>14:00-15:14</t>
  </si>
  <si>
    <t>22.12.2024</t>
  </si>
  <si>
    <t>ערק</t>
  </si>
  <si>
    <t>08:00-18:15</t>
  </si>
  <si>
    <t>16:30-18:15</t>
  </si>
  <si>
    <t>זנבות ערק</t>
  </si>
  <si>
    <t>זיקוק 1</t>
  </si>
  <si>
    <t>07:00-13:00</t>
  </si>
  <si>
    <t>סוג משקה</t>
  </si>
  <si>
    <t>כמות בקבוקים</t>
  </si>
  <si>
    <t>תאריך 
תסיסה</t>
  </si>
  <si>
    <t>עבר סינון</t>
  </si>
  <si>
    <t>תקין / לא</t>
  </si>
  <si>
    <t>כן / לא</t>
  </si>
  <si>
    <t xml:space="preserve">מאושר / לא מאושר </t>
  </si>
  <si>
    <t>חתימת אחראי 
איכות</t>
  </si>
  <si>
    <t>מידה</t>
  </si>
  <si>
    <t>תבלין</t>
  </si>
  <si>
    <t>כמות ל500 ל'</t>
  </si>
  <si>
    <t>ק"ג</t>
  </si>
  <si>
    <t>זרעי אניס</t>
  </si>
  <si>
    <t>כוכבי אניס</t>
  </si>
  <si>
    <t>ליקריץ</t>
  </si>
  <si>
    <t>ערער פירות</t>
  </si>
  <si>
    <t>גרם</t>
  </si>
  <si>
    <t>הל שלם</t>
  </si>
  <si>
    <t>פירות הדר - לימון ליים</t>
  </si>
  <si>
    <t>פירות הדר - תפוז לח</t>
  </si>
  <si>
    <t>מקלות קינמון</t>
  </si>
  <si>
    <t>זרעי כוסברה</t>
  </si>
  <si>
    <t>פרחי קמומיל</t>
  </si>
  <si>
    <t>דום (שיזף)</t>
  </si>
  <si>
    <t>כוכב ריחני</t>
  </si>
  <si>
    <t xml:space="preserve">פרעושית </t>
  </si>
  <si>
    <t>ברנדי חורש ים תיכוני</t>
  </si>
  <si>
    <t>חרוב</t>
  </si>
  <si>
    <t>אלה</t>
  </si>
  <si>
    <t>קטלב</t>
  </si>
  <si>
    <t>27.12.2024</t>
  </si>
  <si>
    <t>מספר אצווה 
(Batch)</t>
  </si>
  <si>
    <t>מעשר - בוצע/לא בוצע</t>
  </si>
  <si>
    <t>לא</t>
  </si>
  <si>
    <t>בקבוק אובלו (ברנדי)</t>
  </si>
  <si>
    <t>תויות ג'ין</t>
  </si>
  <si>
    <t>תויות ברנדי VS</t>
  </si>
  <si>
    <t>תויות ברנדי VSOP</t>
  </si>
  <si>
    <t>תויות ליקריץ' צוואר</t>
  </si>
  <si>
    <t>תויות ליקריץ'</t>
  </si>
  <si>
    <t>תויות ג'ין צוואר</t>
  </si>
  <si>
    <t>תויות ברנדי VS צוואר</t>
  </si>
  <si>
    <t>תויות ברנדי VSOP צוואר</t>
  </si>
  <si>
    <t>תוית פקק נחושת</t>
  </si>
  <si>
    <t>תוית פקק זהב</t>
  </si>
  <si>
    <t>פקק - דמוס</t>
  </si>
  <si>
    <t>פקק - אובלו, לוב</t>
  </si>
  <si>
    <t>שם מסחרי</t>
  </si>
  <si>
    <t>בקבוק לוב (ארק ליקריץ')</t>
  </si>
  <si>
    <t>תבלינים</t>
  </si>
  <si>
    <t>רכיב</t>
  </si>
  <si>
    <t>יחידת כמות</t>
  </si>
  <si>
    <t>בקבוק</t>
  </si>
  <si>
    <t>תויות</t>
  </si>
  <si>
    <t>תוית</t>
  </si>
  <si>
    <t>מלאי</t>
  </si>
  <si>
    <t>התחלה</t>
  </si>
  <si>
    <t>כמות בתוקף</t>
  </si>
  <si>
    <t>משקל [ק"ג]</t>
  </si>
  <si>
    <t>גודל מיכל</t>
  </si>
  <si>
    <t>תמרים [ק"ג]</t>
  </si>
  <si>
    <r>
      <t xml:space="preserve">סיום זיקוק
</t>
    </r>
    <r>
      <rPr>
        <sz val="9"/>
        <color theme="0"/>
        <rFont val="Arial"/>
        <family val="2"/>
        <scheme val="minor"/>
      </rPr>
      <t>ריכוז אלכוהול בסוף (%)</t>
    </r>
  </si>
  <si>
    <r>
      <t xml:space="preserve">הפרדת זנבות
</t>
    </r>
    <r>
      <rPr>
        <sz val="9"/>
        <color theme="0"/>
        <rFont val="Arial"/>
        <family val="2"/>
        <scheme val="minor"/>
      </rPr>
      <t>ריכוז אלכוהול בסוף (%)</t>
    </r>
  </si>
  <si>
    <t>כמות זיקוק מהתססה</t>
  </si>
  <si>
    <t>כמות מזוקקת [ליטר]</t>
  </si>
  <si>
    <t>סה"כ מיכלים פעילים בל'</t>
  </si>
  <si>
    <t>תאריכי זיקוק 1</t>
  </si>
  <si>
    <t>תמרתושקה</t>
  </si>
  <si>
    <t>כוכב אניס</t>
  </si>
  <si>
    <t>ערער</t>
  </si>
  <si>
    <t>הל</t>
  </si>
  <si>
    <t>קינמון</t>
  </si>
  <si>
    <t>קמומיל</t>
  </si>
  <si>
    <t>עבר מעשר</t>
  </si>
  <si>
    <t>ניחוחות ארגמן</t>
  </si>
  <si>
    <t>בעל תקן משרד הבריאות</t>
  </si>
  <si>
    <t>בעל תעודת כשל"פ</t>
  </si>
  <si>
    <t>פרעושית</t>
  </si>
  <si>
    <t>שיזף</t>
  </si>
  <si>
    <t>חביות</t>
  </si>
  <si>
    <t>חרובים</t>
  </si>
  <si>
    <t xml:space="preserve">קטלב </t>
  </si>
  <si>
    <t>אשחר</t>
  </si>
  <si>
    <t>אריזות</t>
  </si>
  <si>
    <t>תויות ערק צוואר</t>
  </si>
  <si>
    <t>תויות ערק</t>
  </si>
  <si>
    <t>קרטון בקבוק יחד</t>
  </si>
  <si>
    <t>קרטון 12 אובלו</t>
  </si>
  <si>
    <t>קרטון 12 דמוס</t>
  </si>
  <si>
    <t>קרטון 12 לוב</t>
  </si>
  <si>
    <t>קרטון 6 -  אובלו (ברנדי)</t>
  </si>
  <si>
    <t>קרטון 6 - לוב (ארק ליקריץ')</t>
  </si>
  <si>
    <t>משקל/כמות [ק"ג]</t>
  </si>
  <si>
    <t>סוג מוצר</t>
  </si>
  <si>
    <t>ברנדי VS</t>
  </si>
  <si>
    <t>ברנדי VSOP</t>
  </si>
  <si>
    <t>כמות במחסן</t>
  </si>
  <si>
    <t>פירות הדר תפוז</t>
  </si>
  <si>
    <t>פירות הדר לימון</t>
  </si>
  <si>
    <t>הערה: לבדוק איך הספק סופר: האם הכמות היא גם של תוית קדמית וגם אחורית, או כל אחד בנפרד?</t>
  </si>
  <si>
    <t>I-HERB</t>
  </si>
  <si>
    <t>ליקוט עצמי</t>
  </si>
  <si>
    <t>התחלה - גמלאיל</t>
  </si>
  <si>
    <t>התחלה - ארגזים כתומים</t>
  </si>
  <si>
    <t>29.12.2024</t>
  </si>
  <si>
    <t>ש.ל.ר</t>
  </si>
  <si>
    <t>יקב האלה</t>
  </si>
  <si>
    <t>PCSI</t>
  </si>
  <si>
    <t>09:00-15:30</t>
  </si>
  <si>
    <t>13:00-19:00</t>
  </si>
  <si>
    <t>כמות תמרים במהלך תסיסה</t>
  </si>
  <si>
    <t>07:20-13:25</t>
  </si>
  <si>
    <t>קטיף עצמי</t>
  </si>
  <si>
    <t>הכנה ליקריץ</t>
  </si>
  <si>
    <t>08:30-14:30</t>
  </si>
  <si>
    <t>09:30-16:00</t>
  </si>
  <si>
    <t>07:00-12:00</t>
  </si>
  <si>
    <t>תמרים גולמי 
(לפני תסיסה)</t>
  </si>
  <si>
    <t>תמרים בתסיסה</t>
  </si>
  <si>
    <t>יצא לזיקוק</t>
  </si>
  <si>
    <t>גמליאל</t>
  </si>
  <si>
    <t>06:45-13:00</t>
  </si>
  <si>
    <t>06.01.2025</t>
  </si>
  <si>
    <t>A101</t>
  </si>
  <si>
    <t>G6</t>
  </si>
  <si>
    <t>E50</t>
  </si>
  <si>
    <t>E51</t>
  </si>
  <si>
    <t>EDV</t>
  </si>
  <si>
    <t>תויות EDV צוואר</t>
  </si>
  <si>
    <t xml:space="preserve">תויות EDV </t>
  </si>
  <si>
    <t>בקבוק דמוס (ג'ין, EDV)</t>
  </si>
  <si>
    <t>קרטון 6 - דמוס (ג'ין, EDV)</t>
  </si>
  <si>
    <t>כמות ל130 ל'</t>
  </si>
  <si>
    <t>1.1.25/2.1.25/5.1.25</t>
  </si>
  <si>
    <t>07:00-14:00</t>
  </si>
  <si>
    <t>זנבות EDV</t>
  </si>
  <si>
    <t>B1</t>
  </si>
  <si>
    <t>B2</t>
  </si>
  <si>
    <t>21.01.2024</t>
  </si>
  <si>
    <t>07.01.2025</t>
  </si>
  <si>
    <t>E52</t>
  </si>
  <si>
    <t>24.12 / 25.12 / מיכלי פלסטיק</t>
  </si>
  <si>
    <t>06:45-14:10</t>
  </si>
  <si>
    <t>14:00-15:40</t>
  </si>
  <si>
    <t>06:45-12:30</t>
  </si>
  <si>
    <t>חבית (220ל')</t>
  </si>
  <si>
    <t>06:30-12:00</t>
  </si>
  <si>
    <t>06:30-13:00</t>
  </si>
  <si>
    <t>זוקק רק פעם 1 היום מ2 מיכלי תסיסה שונים</t>
  </si>
  <si>
    <t>נשבר מד אכוהול לכן אין מדידות עד שיהיה חדש</t>
  </si>
  <si>
    <t>06:40-13:00</t>
  </si>
  <si>
    <t>06:35-11:29</t>
  </si>
  <si>
    <t>23.12.2025</t>
  </si>
  <si>
    <t>G5</t>
  </si>
  <si>
    <t>06:40-11:45</t>
  </si>
  <si>
    <t>מספר חבית</t>
  </si>
  <si>
    <t>E50+E51</t>
  </si>
  <si>
    <t>06:40-14:00</t>
  </si>
  <si>
    <t>אותו זיקוק כמו שורה מעל</t>
  </si>
  <si>
    <t>06:35-14:25</t>
  </si>
  <si>
    <t>E51+E52</t>
  </si>
  <si>
    <t>6-7.1.2025</t>
  </si>
  <si>
    <t>06:30-16:30</t>
  </si>
  <si>
    <t>06:30-12:50</t>
  </si>
  <si>
    <t>06:40-13:15</t>
  </si>
  <si>
    <t>14:45-20:17</t>
  </si>
  <si>
    <t>לארה</t>
  </si>
  <si>
    <t>28.01.2025</t>
  </si>
  <si>
    <t>7.1 - 8.1 - 10.1 - 13.1 - 22.1</t>
  </si>
  <si>
    <t>E53</t>
  </si>
  <si>
    <t>07:00-15:30</t>
  </si>
  <si>
    <t>זמן 
(עד 55%)</t>
  </si>
  <si>
    <t>15:30-17:14</t>
  </si>
  <si>
    <t>07:20-13:30</t>
  </si>
  <si>
    <t>29.01.2025</t>
  </si>
  <si>
    <t xml:space="preserve">14.1 - 15.1 - 16.1 - 19.1 - </t>
  </si>
  <si>
    <t>E54</t>
  </si>
  <si>
    <t>30.01.2025</t>
  </si>
  <si>
    <t>A102</t>
  </si>
  <si>
    <t xml:space="preserve">23.1 - 24.1 - 26.1 - 27.1 - 28.1 </t>
  </si>
  <si>
    <t>07:00-16:00</t>
  </si>
  <si>
    <t>16:00-18:00</t>
  </si>
  <si>
    <t>07:00-12:50</t>
  </si>
  <si>
    <t>13:30-19:20</t>
  </si>
  <si>
    <t>07:00-13:10</t>
  </si>
  <si>
    <t>13:30-19:00</t>
  </si>
  <si>
    <t>זיקוק ניקיון</t>
  </si>
  <si>
    <t>שם 
המזקקה</t>
  </si>
  <si>
    <t>אמיתי</t>
  </si>
  <si>
    <t>אלאדין</t>
  </si>
  <si>
    <t>12:00-16:50</t>
  </si>
  <si>
    <t>13:30-18:45</t>
  </si>
  <si>
    <t>07:00-12:30</t>
  </si>
  <si>
    <t>13:15-19:17</t>
  </si>
  <si>
    <t>07:15-13:00</t>
  </si>
  <si>
    <t>07:00-13:15</t>
  </si>
  <si>
    <t>13:40-19:00</t>
  </si>
  <si>
    <t>12.02.2025</t>
  </si>
  <si>
    <t>2.2 - 3.2 - 7.2 - 10.1</t>
  </si>
  <si>
    <t>G7</t>
  </si>
  <si>
    <t>07:20-15:30</t>
  </si>
  <si>
    <t>15:30-17:15</t>
  </si>
  <si>
    <t>13.02.2025</t>
  </si>
  <si>
    <t>30.1 - 4.2 - 6.2 - 12.2 - 2.2</t>
  </si>
  <si>
    <t>E55</t>
  </si>
  <si>
    <t>07:30-15:20</t>
  </si>
  <si>
    <t>15:20-17:00</t>
  </si>
  <si>
    <t>06:50-13:00</t>
  </si>
  <si>
    <t>20.02.2025</t>
  </si>
  <si>
    <t xml:space="preserve">16.2 - 13.2 - 17.2 - </t>
  </si>
  <si>
    <t>E56</t>
  </si>
  <si>
    <t>E52+E53</t>
  </si>
  <si>
    <t>7.1.2025 + 28.1.2025</t>
  </si>
  <si>
    <t>07:00-15:20</t>
  </si>
  <si>
    <t>06:50-13:15</t>
  </si>
  <si>
    <t>06:40-12:40</t>
  </si>
  <si>
    <t>06:40-12:15</t>
  </si>
  <si>
    <t>01.03.2025</t>
  </si>
  <si>
    <t>25.2 - 27.2 - 20.2 - 26.2 - 10.2</t>
  </si>
  <si>
    <t>A103</t>
  </si>
  <si>
    <t>30.1.2025</t>
  </si>
  <si>
    <t>07:30-15:15</t>
  </si>
  <si>
    <t>15:15-16:45</t>
  </si>
  <si>
    <t>תחילת נוזל - לא התמלא לבדיקה</t>
  </si>
  <si>
    <t>09:45-14:00</t>
  </si>
  <si>
    <t>07:10-13:05</t>
  </si>
  <si>
    <t>06:40-12:55</t>
  </si>
  <si>
    <t>06:40-11:49</t>
  </si>
  <si>
    <t>06:50-12:00</t>
  </si>
  <si>
    <t>נפסל בגלל לכלוך באלכוהול</t>
  </si>
  <si>
    <t>11:30-16:30</t>
  </si>
  <si>
    <t>07:00-12:20</t>
  </si>
  <si>
    <t>13:26-18:20</t>
  </si>
  <si>
    <t>15:30-16:50</t>
  </si>
  <si>
    <t>13.03.2025</t>
  </si>
  <si>
    <t>5.2 - 2.2 - 12.2 - 25.2 - 11.2 - 10.2</t>
  </si>
  <si>
    <t>E57</t>
  </si>
  <si>
    <t>06:35-12:20</t>
  </si>
  <si>
    <t>13:40-19:15</t>
  </si>
  <si>
    <t>06:30-13:15</t>
  </si>
  <si>
    <t>06:30-13:20</t>
  </si>
  <si>
    <t>06:40-13:30</t>
  </si>
  <si>
    <t>06:40-13:05</t>
  </si>
  <si>
    <t>06:40-13:55</t>
  </si>
  <si>
    <t>27.03.2025</t>
  </si>
  <si>
    <t>A104</t>
  </si>
  <si>
    <t>15:20-17:20</t>
  </si>
  <si>
    <t>31.03.2025</t>
  </si>
  <si>
    <t>G8</t>
  </si>
  <si>
    <t>08:20-15:10</t>
  </si>
  <si>
    <t>15:10-17:15</t>
  </si>
  <si>
    <t>07:20-14:00</t>
  </si>
  <si>
    <t>13:30-19:45</t>
  </si>
  <si>
    <t>ערק גיבורים</t>
  </si>
  <si>
    <t>ג'ין גיבורים</t>
  </si>
  <si>
    <t>14:20-19:40</t>
  </si>
  <si>
    <t>07.03.2025</t>
  </si>
  <si>
    <t xml:space="preserve">14.3 - 18.3 - 20.3 - 31.3 </t>
  </si>
  <si>
    <t>A105</t>
  </si>
  <si>
    <t>07:20-16:00</t>
  </si>
  <si>
    <t>16:00-17:45</t>
  </si>
  <si>
    <t>09.03.2025</t>
  </si>
  <si>
    <t>6.4 - 27.3 - 28.3</t>
  </si>
  <si>
    <t>E58</t>
  </si>
  <si>
    <t>07:25-15:45</t>
  </si>
  <si>
    <t>15:45-17:30</t>
  </si>
  <si>
    <t>06:30-12:30</t>
  </si>
  <si>
    <t>06:30-12:20</t>
  </si>
  <si>
    <t>14:45-16:50</t>
  </si>
  <si>
    <t>20.04.2025</t>
  </si>
  <si>
    <t>G9</t>
  </si>
  <si>
    <t>07:00-14:45</t>
  </si>
  <si>
    <t>7.4 - 10.4 - 11.4 - 18.4</t>
  </si>
  <si>
    <t>E59</t>
  </si>
  <si>
    <t>14:40-16:15</t>
  </si>
  <si>
    <t>21.04.2025</t>
  </si>
  <si>
    <t>2.4 - 3.4 - 4.4 - 25.3</t>
  </si>
  <si>
    <t>07:00-14:40</t>
  </si>
  <si>
    <t>4.4.2025</t>
  </si>
  <si>
    <t>07:30-14:00</t>
  </si>
  <si>
    <t>06:30-13:10</t>
  </si>
  <si>
    <t>14:00-19:45</t>
  </si>
  <si>
    <t>07:00-12:14</t>
  </si>
  <si>
    <t>13:45-19:45</t>
  </si>
  <si>
    <t>13:30-18:50</t>
  </si>
  <si>
    <t>01.05.2025</t>
  </si>
  <si>
    <t>A106</t>
  </si>
  <si>
    <t>15:30-17:40</t>
  </si>
  <si>
    <t>13:50-19:40</t>
  </si>
  <si>
    <t>B3</t>
  </si>
  <si>
    <t>3.05.2025 - 01.05.2025</t>
  </si>
  <si>
    <t>ברנדי ים תיכוני</t>
  </si>
  <si>
    <t>1.16 ק"ג קטלב</t>
  </si>
  <si>
    <t>06:40-13:20</t>
  </si>
  <si>
    <t>06:30-13:30</t>
  </si>
  <si>
    <t>06:30-13:05</t>
  </si>
  <si>
    <t>06:50-13:35</t>
  </si>
  <si>
    <t>5.5.2025</t>
  </si>
  <si>
    <t>18.05.2025</t>
  </si>
  <si>
    <t>G10</t>
  </si>
  <si>
    <t>06:45-14:30</t>
  </si>
  <si>
    <t>14:30-16:40</t>
  </si>
  <si>
    <t>19.05.2025</t>
  </si>
  <si>
    <t>11.4 - 13.4 - 4.4 - 6.4</t>
  </si>
  <si>
    <t>E60</t>
  </si>
  <si>
    <t>15:00-17:00</t>
  </si>
  <si>
    <t>20.05.2025</t>
  </si>
  <si>
    <t>30.4 - 1-6/5</t>
  </si>
  <si>
    <t>A107</t>
  </si>
  <si>
    <t>07:00 - 15:00</t>
  </si>
  <si>
    <t>07:00 - 14:35</t>
  </si>
  <si>
    <t>14:30 - 16:20</t>
  </si>
  <si>
    <t>07:00 - 13:30</t>
  </si>
  <si>
    <t xml:space="preserve">ג'ין </t>
  </si>
  <si>
    <t>21.4.2025</t>
  </si>
  <si>
    <t>06:45 - 14:00</t>
  </si>
  <si>
    <t>06:30 - 12:50</t>
  </si>
  <si>
    <t>06:40 - 13:00</t>
  </si>
  <si>
    <t>13:45 - 18:45</t>
  </si>
  <si>
    <t>06:30 - 12:30</t>
  </si>
  <si>
    <t>06:30 - 13:00</t>
  </si>
  <si>
    <t>תסיסה עברה סינון בפרס</t>
  </si>
  <si>
    <t>0640 - 12:20</t>
  </si>
  <si>
    <t>06:50 - 14:40</t>
  </si>
  <si>
    <t>06:50 - 14:05</t>
  </si>
  <si>
    <t xml:space="preserve">06:50 - 13:30 </t>
  </si>
  <si>
    <t>06:45-13:45</t>
  </si>
  <si>
    <t>06:35-13:45</t>
  </si>
  <si>
    <t>06:35-14:15</t>
  </si>
  <si>
    <t>11.06.2025</t>
  </si>
  <si>
    <t>22.5 - 23.5 - 25.5 - 4.6</t>
  </si>
  <si>
    <t>A108</t>
  </si>
  <si>
    <t>06:40-14:50</t>
  </si>
  <si>
    <t>14:50-16:30</t>
  </si>
  <si>
    <t>12.06.2025</t>
  </si>
  <si>
    <t>30.5 - 6.6 - 8.6</t>
  </si>
  <si>
    <t>G11</t>
  </si>
  <si>
    <t>07:00-14:50</t>
  </si>
  <si>
    <t>15.06.2025</t>
  </si>
  <si>
    <t>25.5 - 11.6 - 10.6 - 9.6</t>
  </si>
  <si>
    <t>E61</t>
  </si>
  <si>
    <t>14:45-16:30</t>
  </si>
  <si>
    <t>מבער 1 לא עבד</t>
  </si>
  <si>
    <t>07:00-20:30</t>
  </si>
  <si>
    <t>טמפרטורה (°C) 
ושעה - 
ריכוז התחלתי</t>
  </si>
  <si>
    <t>91 - 13:40</t>
  </si>
  <si>
    <t>06:00-14:45</t>
  </si>
  <si>
    <t>06:45 - 15:15</t>
  </si>
  <si>
    <t>11:10 - 92מעלות</t>
  </si>
  <si>
    <t>06:50 - 15:50</t>
  </si>
  <si>
    <t>06:30 - 12:25</t>
  </si>
  <si>
    <t>06:45-15:25</t>
  </si>
  <si>
    <t>30.06.2025</t>
  </si>
  <si>
    <t>17.6-19.6-24.6-14.6</t>
  </si>
  <si>
    <t>E62</t>
  </si>
  <si>
    <t>07:15-16:00</t>
  </si>
  <si>
    <t>01.07.2025</t>
  </si>
  <si>
    <t>26.6-22.6-25.6</t>
  </si>
  <si>
    <t>E63</t>
  </si>
  <si>
    <t>06:50-14:25</t>
  </si>
  <si>
    <t>14:45-16:15</t>
  </si>
  <si>
    <t>06:30-15:40</t>
  </si>
  <si>
    <t>06:50-14:20</t>
  </si>
  <si>
    <t>06:30-12:40</t>
  </si>
  <si>
    <t xml:space="preserve">ברנדי </t>
  </si>
  <si>
    <t>B4</t>
  </si>
  <si>
    <t>1.07.2025</t>
  </si>
  <si>
    <t>3/4 חבית</t>
  </si>
  <si>
    <t>06:40-15:00</t>
  </si>
  <si>
    <t>10.07.2025</t>
  </si>
  <si>
    <t>6.7-3.7-9.7</t>
  </si>
  <si>
    <t>E64</t>
  </si>
  <si>
    <t>14:30-16:15</t>
  </si>
  <si>
    <t>06:50-12:15</t>
  </si>
  <si>
    <t>13.07.2025</t>
  </si>
  <si>
    <t>07:10-14:20</t>
  </si>
  <si>
    <t>14:25-16:30</t>
  </si>
  <si>
    <t>1/4 חבית</t>
  </si>
  <si>
    <t>06:40-14:40</t>
  </si>
  <si>
    <t>01.04.2024</t>
  </si>
  <si>
    <t>06:40-14:15</t>
  </si>
  <si>
    <t>07:00-16:50</t>
  </si>
  <si>
    <t>07:00-14:20</t>
  </si>
  <si>
    <t>06:40-13:10</t>
  </si>
  <si>
    <t>A109</t>
  </si>
  <si>
    <t>06:50-15:00</t>
  </si>
  <si>
    <t>06:40-14:30</t>
  </si>
  <si>
    <t>13.08.2025</t>
  </si>
  <si>
    <t>E65</t>
  </si>
  <si>
    <t>07:00-15:00</t>
  </si>
  <si>
    <t>15:00-16:30</t>
  </si>
  <si>
    <t>06:50-13:30</t>
  </si>
  <si>
    <t>26/06/2025-2</t>
  </si>
  <si>
    <t>10:20 - 95</t>
  </si>
  <si>
    <t>10:10 - 93</t>
  </si>
  <si>
    <t>17:50 - 94</t>
  </si>
  <si>
    <t>13:50-20:40</t>
  </si>
  <si>
    <t>12:00 - 92</t>
  </si>
  <si>
    <t>07:25-16:00</t>
  </si>
  <si>
    <t>20.08.2025</t>
  </si>
  <si>
    <t>29.7 - 31.7 - 18.8</t>
  </si>
  <si>
    <t>G12</t>
  </si>
  <si>
    <t>07:40-14:30</t>
  </si>
  <si>
    <t>14:30-16:25</t>
  </si>
  <si>
    <t>ספטמבר-אוקטובר</t>
  </si>
  <si>
    <t>21.08.2025</t>
  </si>
  <si>
    <t>13.8 - 25.7 - 30.7 - 17.8</t>
  </si>
  <si>
    <t>07:15-15:00</t>
  </si>
  <si>
    <t>15:00-16:50</t>
  </si>
  <si>
    <t>07:00-12:45</t>
  </si>
  <si>
    <t>24.08.2025</t>
  </si>
  <si>
    <t>E66</t>
  </si>
  <si>
    <t>3.8 - 4.8 - 5.8 - 14.8</t>
  </si>
  <si>
    <t>14:00-15:45</t>
  </si>
  <si>
    <t>25.08.2025</t>
  </si>
  <si>
    <t>E67</t>
  </si>
  <si>
    <t>18.8 - 20.8 - 29.8 - 23.8</t>
  </si>
  <si>
    <t>15:00-16:45</t>
  </si>
  <si>
    <t>10:50 -93</t>
  </si>
  <si>
    <t>07:00-14:30</t>
  </si>
  <si>
    <t xml:space="preserve">טמפרטורה (°C) </t>
  </si>
  <si>
    <t>07:10-14:30</t>
  </si>
  <si>
    <t>11:40-93</t>
  </si>
  <si>
    <t>06:50-16:30</t>
  </si>
  <si>
    <t>07:00-13:40</t>
  </si>
  <si>
    <t>10:30-88</t>
  </si>
  <si>
    <t>06:50-17:00</t>
  </si>
  <si>
    <t>11:15-90</t>
  </si>
  <si>
    <t>11:15-16:15</t>
  </si>
  <si>
    <t>11:45 - 90</t>
  </si>
  <si>
    <t>07:30-17:15</t>
  </si>
  <si>
    <t>הערכה - כי מילאנו במיכלים לא מדוייקים</t>
  </si>
  <si>
    <t>10:30 - 82</t>
  </si>
  <si>
    <t>06:30-16:50</t>
  </si>
  <si>
    <t>14.09.2025</t>
  </si>
  <si>
    <t>11.9 - 9.9 - 31.9 - 7.9</t>
  </si>
  <si>
    <t>A110</t>
  </si>
  <si>
    <t>A111</t>
  </si>
  <si>
    <t>07:30-15:50</t>
  </si>
  <si>
    <t>חסר נתונים</t>
  </si>
  <si>
    <t>33*</t>
  </si>
  <si>
    <t>15:50 - 17:30</t>
  </si>
  <si>
    <t>15.09.2025</t>
  </si>
  <si>
    <t>G13</t>
  </si>
  <si>
    <t>9.9 - 7.9 - 25.8 - 26.8 - 27.8</t>
  </si>
  <si>
    <t>07:20-15:50</t>
  </si>
  <si>
    <t>15:50-17:30</t>
  </si>
  <si>
    <t>אין נתונים</t>
  </si>
  <si>
    <t>17.09.2025</t>
  </si>
  <si>
    <t>12:30 - 90</t>
  </si>
  <si>
    <t>07:40-19:00</t>
  </si>
  <si>
    <t>18.09.2025</t>
  </si>
  <si>
    <t>19.09.2025</t>
  </si>
  <si>
    <t>B5</t>
  </si>
  <si>
    <t>06:45-13:20</t>
  </si>
  <si>
    <t>21.09.2025</t>
  </si>
  <si>
    <t>10:35 - 88</t>
  </si>
  <si>
    <t>06:40-16:30</t>
  </si>
  <si>
    <t>22.09.2025</t>
  </si>
  <si>
    <t>06:50-14:30</t>
  </si>
  <si>
    <t>25.09.2025</t>
  </si>
  <si>
    <t>A112</t>
  </si>
  <si>
    <t>17.9 - 19.9 - 21.9 - 22.9</t>
  </si>
  <si>
    <t>07:00-16:30</t>
  </si>
  <si>
    <t>16:30-18:30</t>
  </si>
  <si>
    <t>26.09.2025</t>
  </si>
  <si>
    <t>07:00-13:50</t>
  </si>
  <si>
    <t>28.09.2025</t>
  </si>
  <si>
    <t>11:10 - 92</t>
  </si>
  <si>
    <t>06:45-16:20</t>
  </si>
  <si>
    <t>29.09.2025</t>
  </si>
  <si>
    <t>12:40 - 91</t>
  </si>
  <si>
    <t>07:30-18:30</t>
  </si>
  <si>
    <t>30.09.2025</t>
  </si>
  <si>
    <t xml:space="preserve">06:45 - 13:45 </t>
  </si>
  <si>
    <t>03.10.2025</t>
  </si>
  <si>
    <t>06:40-15:30</t>
  </si>
  <si>
    <t>G14</t>
  </si>
  <si>
    <t>ערק גלי</t>
  </si>
  <si>
    <t>בקבוקי גיבורים</t>
  </si>
  <si>
    <t>גין גלי</t>
  </si>
  <si>
    <t>05.10.2025</t>
  </si>
  <si>
    <t>06.10.2025</t>
  </si>
  <si>
    <t>08.10.2025</t>
  </si>
  <si>
    <t>06:45-13:50</t>
  </si>
  <si>
    <t>09.10.2025</t>
  </si>
  <si>
    <t>06:40-13:50</t>
  </si>
  <si>
    <t>12.10.2025</t>
  </si>
  <si>
    <t>9.9 - 18.9 - 31.9 - 8.9 - 29.9</t>
  </si>
  <si>
    <t>E68</t>
  </si>
  <si>
    <t>06:50-15:20</t>
  </si>
  <si>
    <t>15:20-17:25</t>
  </si>
  <si>
    <t>15.10.2025</t>
  </si>
  <si>
    <t>17.9 - 6.10 - 29.9 - 3.10</t>
  </si>
  <si>
    <t>A113</t>
  </si>
  <si>
    <t>07:10-14:15</t>
  </si>
  <si>
    <t>14:15-15:50</t>
  </si>
  <si>
    <t>16.10.2025</t>
  </si>
  <si>
    <t>12.10 - 5.10 - 26.9 - 28.9</t>
  </si>
  <si>
    <t>07:20-13:00</t>
  </si>
  <si>
    <t>13:00-14:40</t>
  </si>
  <si>
    <t>20.10.2025</t>
  </si>
  <si>
    <t>06:50-17:50</t>
  </si>
  <si>
    <t>21.10.2025</t>
  </si>
  <si>
    <t>12:00 - 89</t>
  </si>
  <si>
    <t>07:45-17:50</t>
  </si>
  <si>
    <t>22.10.2025</t>
  </si>
  <si>
    <t>הופסק ב11:00 - טנפון לא הרגיש טוב</t>
  </si>
  <si>
    <t>23.10.2025</t>
  </si>
  <si>
    <t>09:00 - 89</t>
  </si>
  <si>
    <t>06:30-15:15</t>
  </si>
  <si>
    <t>27.10.2025</t>
  </si>
  <si>
    <t>11:20 - 89</t>
  </si>
  <si>
    <t>06:45-17:45</t>
  </si>
  <si>
    <t>28.10.2025</t>
  </si>
  <si>
    <t>נכנסו 15 ארזי תמרים במקום 18 כמו שטנפון שם עד כה</t>
  </si>
  <si>
    <t>11:40- 90</t>
  </si>
  <si>
    <t>07:50-16:40</t>
  </si>
  <si>
    <t>02.11.2025</t>
  </si>
  <si>
    <t>27.10- 21.10 - 28.10 - 25.10 - 15.10</t>
  </si>
  <si>
    <t>אלאדין - 5 ליטר מטנול + 5 ליטר חוזר לזיקוק נוסף</t>
  </si>
  <si>
    <t>07:00 - 13:20</t>
  </si>
  <si>
    <t>13:20-14:30</t>
  </si>
  <si>
    <t>03.11.2025</t>
  </si>
  <si>
    <t>23.10 - 31.10 - 26.10 - 27.10 - 17.10</t>
  </si>
  <si>
    <t>E69</t>
  </si>
  <si>
    <t>06:50 - 13:15</t>
  </si>
  <si>
    <t>13:15-14:30</t>
  </si>
  <si>
    <t>04.11.2025</t>
  </si>
  <si>
    <t>E70</t>
  </si>
  <si>
    <t>05.11.2025</t>
  </si>
  <si>
    <t>10:30 - 88</t>
  </si>
  <si>
    <t>3.10 - 21.10 - 23.10 - 20.10 - 28.10</t>
  </si>
  <si>
    <t>נכנס למזקקה - 180 ליטר זיקוק 1. אלאדין - 5 ליטר מטנול + 5 ליטר חוזר לזיקוק נוסף</t>
  </si>
  <si>
    <t>13:50-15:00</t>
  </si>
  <si>
    <t>06:45-16:10</t>
  </si>
  <si>
    <t>06.11.2025</t>
  </si>
  <si>
    <t>11:50 - 90</t>
  </si>
  <si>
    <t>07:30-16:45</t>
  </si>
  <si>
    <t>17.03.2025</t>
  </si>
  <si>
    <t>49 ארגזים כתומים</t>
  </si>
  <si>
    <t xml:space="preserve"> 05.11.2025 - 502 ארגזים כתומים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</si>
</sst>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1"/>
      <color theme="0"/>
      <name val="Arial"/>
      <family val="2"/>
      <scheme val="minor"/>
    </font>
    <font>
      <sz val="9"/>
      <color theme="0"/>
      <name val="Arial"/>
      <family val="2"/>
      <scheme val="minor"/>
    </font>
    <font>
      <sz val="8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theme="9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right" readingOrder="2"/>
    </xf>
    <xf numFmtId="14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applyAlignment="1">
      <alignment horizontal="right" vertical="center"/>
    </xf>
    <xf numFmtId="9" fontId="0" fillId="0" borderId="0" xfId="0" applyNumberFormat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2" borderId="7" xfId="0" applyFill="1" applyBorder="1"/>
    <xf numFmtId="0" fontId="0" fillId="4" borderId="8" xfId="0" applyFill="1" applyBorder="1" applyAlignment="1">
      <alignment horizontal="right" vertical="center" wrapText="1" readingOrder="2"/>
    </xf>
    <xf numFmtId="0" fontId="0" fillId="5" borderId="8" xfId="0" applyFill="1" applyBorder="1" applyAlignment="1">
      <alignment horizontal="center" vertical="center" wrapText="1" readingOrder="2"/>
    </xf>
    <xf numFmtId="2" fontId="0" fillId="6" borderId="8" xfId="0" applyNumberFormat="1" applyFill="1" applyBorder="1" applyAlignment="1">
      <alignment horizontal="center" vertical="center" wrapText="1" readingOrder="2"/>
    </xf>
    <xf numFmtId="0" fontId="0" fillId="4" borderId="1" xfId="0" applyFill="1" applyBorder="1" applyAlignment="1">
      <alignment horizontal="right" vertical="center" wrapText="1" readingOrder="2"/>
    </xf>
    <xf numFmtId="0" fontId="0" fillId="5" borderId="1" xfId="0" applyFill="1" applyBorder="1" applyAlignment="1">
      <alignment horizontal="center" vertical="center" wrapText="1" readingOrder="2"/>
    </xf>
    <xf numFmtId="2" fontId="0" fillId="6" borderId="1" xfId="0" applyNumberForma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0" fillId="6" borderId="8" xfId="0" applyFill="1" applyBorder="1" applyAlignment="1">
      <alignment horizontal="center" vertical="center" wrapText="1" readingOrder="2"/>
    </xf>
    <xf numFmtId="0" fontId="0" fillId="0" borderId="1" xfId="0" applyBorder="1" applyAlignment="1">
      <alignment horizontal="center"/>
    </xf>
    <xf numFmtId="0" fontId="0" fillId="10" borderId="7" xfId="0" applyFill="1" applyBorder="1"/>
    <xf numFmtId="0" fontId="0" fillId="10" borderId="0" xfId="0" applyFill="1"/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top"/>
    </xf>
    <xf numFmtId="0" fontId="1" fillId="0" borderId="8" xfId="0" applyFont="1" applyBorder="1" applyAlignment="1">
      <alignment horizontal="center" vertical="top" wrapText="1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8" xfId="0" applyFont="1" applyBorder="1" applyAlignment="1">
      <alignment vertical="top" wrapText="1"/>
    </xf>
    <xf numFmtId="0" fontId="0" fillId="12" borderId="17" xfId="0" applyFill="1" applyBorder="1"/>
    <xf numFmtId="0" fontId="0" fillId="13" borderId="18" xfId="0" applyFill="1" applyBorder="1"/>
    <xf numFmtId="0" fontId="0" fillId="13" borderId="19" xfId="0" applyFill="1" applyBorder="1"/>
    <xf numFmtId="0" fontId="0" fillId="14" borderId="0" xfId="0" applyFill="1"/>
    <xf numFmtId="0" fontId="0" fillId="13" borderId="17" xfId="0" applyFill="1" applyBorder="1"/>
    <xf numFmtId="0" fontId="1" fillId="10" borderId="2" xfId="0" applyFont="1" applyFill="1" applyBorder="1"/>
    <xf numFmtId="0" fontId="1" fillId="10" borderId="6" xfId="0" applyFont="1" applyFill="1" applyBorder="1"/>
    <xf numFmtId="0" fontId="1" fillId="10" borderId="6" xfId="0" applyFont="1" applyFill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0" fillId="12" borderId="19" xfId="0" applyFill="1" applyBorder="1"/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4" fontId="1" fillId="0" borderId="13" xfId="0" applyNumberFormat="1" applyFont="1" applyBorder="1" applyAlignment="1">
      <alignment horizontal="center" vertical="top"/>
    </xf>
    <xf numFmtId="0" fontId="0" fillId="15" borderId="0" xfId="0" applyFill="1"/>
    <xf numFmtId="0" fontId="1" fillId="0" borderId="21" xfId="0" applyFont="1" applyBorder="1" applyAlignment="1">
      <alignment horizontal="center" vertical="top"/>
    </xf>
    <xf numFmtId="0" fontId="0" fillId="12" borderId="22" xfId="0" applyFill="1" applyBorder="1" applyAlignment="1">
      <alignment horizontal="center" vertical="top"/>
    </xf>
    <xf numFmtId="9" fontId="0" fillId="12" borderId="22" xfId="0" applyNumberFormat="1" applyFill="1" applyBorder="1" applyAlignment="1">
      <alignment horizontal="center" vertical="top"/>
    </xf>
    <xf numFmtId="0" fontId="2" fillId="13" borderId="19" xfId="1" applyFill="1" applyBorder="1" applyAlignment="1">
      <alignment horizontal="center" vertical="top"/>
    </xf>
    <xf numFmtId="0" fontId="0" fillId="13" borderId="19" xfId="0" applyFill="1" applyBorder="1" applyAlignment="1">
      <alignment horizontal="center" vertical="top"/>
    </xf>
    <xf numFmtId="0" fontId="0" fillId="13" borderId="19" xfId="0" applyFill="1" applyBorder="1" applyAlignment="1">
      <alignment horizontal="center" vertical="top" wrapText="1"/>
    </xf>
    <xf numFmtId="0" fontId="0" fillId="12" borderId="19" xfId="0" applyFill="1" applyBorder="1" applyAlignment="1">
      <alignment horizontal="center" vertical="top"/>
    </xf>
    <xf numFmtId="0" fontId="0" fillId="12" borderId="19" xfId="0" applyFill="1" applyBorder="1" applyAlignment="1">
      <alignment horizontal="center" vertical="top" wrapText="1"/>
    </xf>
    <xf numFmtId="0" fontId="3" fillId="11" borderId="10" xfId="0" applyFont="1" applyFill="1" applyBorder="1" applyAlignment="1">
      <alignment vertical="top"/>
    </xf>
    <xf numFmtId="0" fontId="3" fillId="11" borderId="20" xfId="0" applyFont="1" applyFill="1" applyBorder="1" applyAlignment="1">
      <alignment vertical="top"/>
    </xf>
    <xf numFmtId="0" fontId="3" fillId="11" borderId="10" xfId="0" applyFont="1" applyFill="1" applyBorder="1" applyAlignment="1">
      <alignment horizontal="center" vertical="top" wrapText="1"/>
    </xf>
    <xf numFmtId="0" fontId="3" fillId="11" borderId="20" xfId="0" applyFont="1" applyFill="1" applyBorder="1" applyAlignment="1">
      <alignment horizontal="center" vertical="top" wrapText="1"/>
    </xf>
    <xf numFmtId="0" fontId="3" fillId="11" borderId="24" xfId="0" applyFont="1" applyFill="1" applyBorder="1" applyAlignment="1">
      <alignment vertical="top"/>
    </xf>
    <xf numFmtId="14" fontId="0" fillId="12" borderId="22" xfId="0" applyNumberFormat="1" applyFill="1" applyBorder="1" applyAlignment="1">
      <alignment horizontal="center" vertical="top"/>
    </xf>
    <xf numFmtId="0" fontId="0" fillId="13" borderId="23" xfId="0" applyFill="1" applyBorder="1"/>
    <xf numFmtId="0" fontId="0" fillId="12" borderId="23" xfId="0" applyFill="1" applyBorder="1"/>
    <xf numFmtId="0" fontId="0" fillId="12" borderId="25" xfId="0" applyFill="1" applyBorder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16" borderId="1" xfId="0" applyFill="1" applyBorder="1"/>
    <xf numFmtId="0" fontId="0" fillId="17" borderId="1" xfId="0" applyFill="1" applyBorder="1"/>
    <xf numFmtId="0" fontId="0" fillId="19" borderId="0" xfId="0" applyFill="1" applyAlignment="1">
      <alignment wrapText="1"/>
    </xf>
    <xf numFmtId="14" fontId="1" fillId="0" borderId="0" xfId="0" applyNumberFormat="1" applyFont="1"/>
    <xf numFmtId="0" fontId="1" fillId="0" borderId="0" xfId="0" applyFont="1" applyAlignment="1">
      <alignment horizontal="right" vertical="center" wrapText="1"/>
    </xf>
    <xf numFmtId="14" fontId="1" fillId="0" borderId="0" xfId="0" applyNumberFormat="1" applyFont="1" applyAlignment="1">
      <alignment horizontal="right" vertical="center"/>
    </xf>
    <xf numFmtId="0" fontId="1" fillId="14" borderId="0" xfId="0" applyFont="1" applyFill="1" applyAlignment="1">
      <alignment horizontal="right" vertical="center"/>
    </xf>
    <xf numFmtId="0" fontId="0" fillId="12" borderId="16" xfId="0" applyFill="1" applyBorder="1" applyAlignment="1">
      <alignment horizontal="center" vertical="top"/>
    </xf>
    <xf numFmtId="14" fontId="0" fillId="13" borderId="23" xfId="0" applyNumberFormat="1" applyFill="1" applyBorder="1" applyAlignment="1">
      <alignment horizontal="center" vertical="top"/>
    </xf>
    <xf numFmtId="0" fontId="1" fillId="13" borderId="19" xfId="0" applyFont="1" applyFill="1" applyBorder="1" applyAlignment="1">
      <alignment horizontal="center" vertical="top"/>
    </xf>
    <xf numFmtId="14" fontId="0" fillId="12" borderId="23" xfId="0" applyNumberFormat="1" applyFill="1" applyBorder="1" applyAlignment="1">
      <alignment horizontal="center" vertical="top"/>
    </xf>
    <xf numFmtId="0" fontId="1" fillId="12" borderId="19" xfId="0" applyFont="1" applyFill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 vertical="center"/>
    </xf>
    <xf numFmtId="0" fontId="0" fillId="18" borderId="0" xfId="0" applyFill="1" applyAlignment="1">
      <alignment wrapText="1"/>
    </xf>
    <xf numFmtId="0" fontId="0" fillId="18" borderId="0" xfId="0" applyFill="1" applyAlignment="1">
      <alignment horizontal="right" vertical="center" wrapText="1"/>
    </xf>
    <xf numFmtId="20" fontId="0" fillId="0" borderId="0" xfId="0" applyNumberFormat="1" applyAlignment="1">
      <alignment horizontal="center" vertical="center"/>
    </xf>
    <xf numFmtId="0" fontId="0" fillId="12" borderId="0" xfId="0" applyFill="1" applyAlignment="1">
      <alignment horizontal="center" vertical="top"/>
    </xf>
    <xf numFmtId="0" fontId="3" fillId="11" borderId="0" xfId="0" applyFont="1" applyFill="1" applyAlignment="1">
      <alignment vertical="top" wrapText="1"/>
    </xf>
    <xf numFmtId="164" fontId="0" fillId="0" borderId="0" xfId="0" applyNumberFormat="1" applyAlignment="1">
      <alignment horizontal="right" vertical="center"/>
    </xf>
    <xf numFmtId="21" fontId="0" fillId="0" borderId="0" xfId="0" applyNumberFormat="1" applyAlignment="1">
      <alignment horizontal="center" vertical="center"/>
    </xf>
    <xf numFmtId="20" fontId="0" fillId="12" borderId="19" xfId="0" applyNumberFormat="1" applyFill="1" applyBorder="1" applyAlignment="1">
      <alignment horizontal="center" vertical="top"/>
    </xf>
    <xf numFmtId="0" fontId="0" fillId="12" borderId="18" xfId="0" applyFill="1" applyBorder="1" applyAlignment="1">
      <alignment horizontal="center" vertical="top"/>
    </xf>
    <xf numFmtId="14" fontId="1" fillId="0" borderId="15" xfId="0" applyNumberFormat="1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20" fontId="0" fillId="12" borderId="18" xfId="0" applyNumberFormat="1" applyFill="1" applyBorder="1" applyAlignment="1">
      <alignment horizontal="center" vertical="top"/>
    </xf>
    <xf numFmtId="16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vertical="center"/>
    </xf>
    <xf numFmtId="0" fontId="0" fillId="12" borderId="23" xfId="0" applyFill="1" applyBorder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0" xfId="0" applyAlignment="1">
      <alignment horizontal="right" vertical="top"/>
    </xf>
    <xf numFmtId="20" fontId="0" fillId="12" borderId="23" xfId="0" applyNumberFormat="1" applyFill="1" applyBorder="1" applyAlignment="1">
      <alignment horizontal="center" vertical="top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7" xfId="0" applyFill="1" applyBorder="1" applyAlignment="1">
      <alignment horizontal="center"/>
    </xf>
  </cellXfs>
  <cellStyles count="2">
    <cellStyle name="Normal" xfId="0" builtinId="0"/>
    <cellStyle name="היפר-קישור" xfId="1" builtinId="8"/>
  </cellStyles>
  <dxfs count="7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top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numFmt numFmtId="0" formatCode="General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alignment horizontal="center" textRotation="0" indent="0" justifyLastLine="0" shrinkToFit="0" readingOrder="0"/>
    </dxf>
    <dxf>
      <border outline="0">
        <top style="medium">
          <color indexed="64"/>
        </top>
      </border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9" formatCode="dd/mm/yyyy"/>
      <alignment horizontal="center" vertical="top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&#1492;&#1488;&#1495;&#1505;&#1493;&#1503;%20&#1513;&#1500;&#1497;\&#1502;&#1494;&#1511;&#1511;&#1492;%20&#1491;&#1512;&#1497;&#1497;&#1489;\&#1502;&#1499;&#1497;&#1512;&#1493;&#1514;.xlsx" TargetMode="External"/><Relationship Id="rId1" Type="http://schemas.openxmlformats.org/officeDocument/2006/relationships/externalLinkPath" Target="file:///G:\&#1492;&#1488;&#1495;&#1505;&#1493;&#1503;%20&#1513;&#1500;&#1497;\&#1502;&#1494;&#1511;&#1511;&#1492;%20&#1491;&#1512;&#1497;&#1497;&#1489;\&#1502;&#1499;&#1497;&#1512;&#1493;&#151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מכירות24"/>
      <sheetName val="לקוחות"/>
      <sheetName val="ספקים"/>
      <sheetName val="מכירות25"/>
      <sheetName val="מכירות 26"/>
    </sheetNames>
    <sheetDataSet>
      <sheetData sheetId="0"/>
      <sheetData sheetId="1"/>
      <sheetData sheetId="2"/>
      <sheetData sheetId="3">
        <row r="4">
          <cell r="X4"/>
          <cell r="Y4"/>
        </row>
        <row r="5">
          <cell r="X5"/>
          <cell r="Y5"/>
        </row>
        <row r="6">
          <cell r="X6"/>
          <cell r="Y6"/>
        </row>
        <row r="7">
          <cell r="X7"/>
          <cell r="Y7"/>
        </row>
        <row r="8">
          <cell r="X8"/>
          <cell r="Y8"/>
        </row>
        <row r="9">
          <cell r="X9"/>
          <cell r="Y9"/>
        </row>
        <row r="10">
          <cell r="X10"/>
          <cell r="Y10"/>
        </row>
        <row r="11">
          <cell r="X11"/>
          <cell r="Y11"/>
        </row>
        <row r="12">
          <cell r="X12"/>
          <cell r="Y12"/>
        </row>
        <row r="13">
          <cell r="X13"/>
          <cell r="Y13"/>
        </row>
        <row r="14">
          <cell r="X14"/>
          <cell r="Y14"/>
        </row>
        <row r="15">
          <cell r="X15"/>
          <cell r="Y15"/>
        </row>
        <row r="16">
          <cell r="X16"/>
          <cell r="Y16"/>
        </row>
        <row r="17">
          <cell r="X17"/>
          <cell r="Y17"/>
        </row>
        <row r="18">
          <cell r="X18"/>
          <cell r="Y18"/>
        </row>
        <row r="19">
          <cell r="X19"/>
          <cell r="Y19"/>
        </row>
        <row r="20">
          <cell r="X20"/>
          <cell r="Y20"/>
        </row>
        <row r="21">
          <cell r="X21"/>
          <cell r="Y21"/>
        </row>
        <row r="22">
          <cell r="X22"/>
          <cell r="Y22"/>
        </row>
        <row r="23">
          <cell r="X23"/>
          <cell r="Y23"/>
        </row>
        <row r="24">
          <cell r="X24" t="str">
            <v xml:space="preserve">סה"כ הכנסות: </v>
          </cell>
          <cell r="Y24"/>
        </row>
        <row r="25">
          <cell r="X25" t="str">
            <v>#NAME?</v>
          </cell>
          <cell r="Y25"/>
        </row>
        <row r="26">
          <cell r="X26"/>
          <cell r="Y26"/>
        </row>
        <row r="27">
          <cell r="X27"/>
          <cell r="Y27"/>
        </row>
        <row r="28">
          <cell r="X28"/>
          <cell r="Y28"/>
        </row>
        <row r="29">
          <cell r="X29"/>
          <cell r="Y29"/>
        </row>
        <row r="30">
          <cell r="X30"/>
          <cell r="Y30"/>
        </row>
        <row r="31">
          <cell r="X31"/>
          <cell r="Y31"/>
        </row>
        <row r="32">
          <cell r="X32"/>
          <cell r="Y32"/>
        </row>
        <row r="33">
          <cell r="X33"/>
          <cell r="Y33"/>
        </row>
        <row r="34">
          <cell r="X34"/>
          <cell r="Y34"/>
        </row>
        <row r="35">
          <cell r="X35"/>
          <cell r="Y35"/>
        </row>
        <row r="36">
          <cell r="X36"/>
          <cell r="Y36"/>
        </row>
        <row r="37">
          <cell r="X37"/>
          <cell r="Y37"/>
        </row>
        <row r="38">
          <cell r="X38"/>
          <cell r="Y38"/>
        </row>
        <row r="39">
          <cell r="X39"/>
          <cell r="Y39"/>
        </row>
        <row r="40">
          <cell r="X40"/>
          <cell r="Y40"/>
        </row>
        <row r="41">
          <cell r="X41"/>
          <cell r="Y41"/>
        </row>
        <row r="42">
          <cell r="X42"/>
          <cell r="Y42"/>
        </row>
        <row r="43">
          <cell r="X43"/>
          <cell r="Y43"/>
        </row>
        <row r="44">
          <cell r="X44"/>
          <cell r="Y44"/>
        </row>
        <row r="45">
          <cell r="X45"/>
          <cell r="Y45"/>
        </row>
        <row r="46">
          <cell r="X46"/>
          <cell r="Y46"/>
        </row>
        <row r="47">
          <cell r="X47"/>
          <cell r="Y47"/>
        </row>
        <row r="48">
          <cell r="X48"/>
          <cell r="Y48"/>
        </row>
        <row r="49">
          <cell r="X49"/>
          <cell r="Y49"/>
        </row>
        <row r="50">
          <cell r="X50"/>
          <cell r="Y50"/>
        </row>
        <row r="51">
          <cell r="X51"/>
          <cell r="Y51"/>
        </row>
        <row r="52">
          <cell r="X52"/>
          <cell r="Y52"/>
        </row>
        <row r="53">
          <cell r="X53"/>
          <cell r="Y53"/>
        </row>
        <row r="54">
          <cell r="X54"/>
          <cell r="Y54"/>
        </row>
        <row r="55">
          <cell r="X55"/>
          <cell r="Y55"/>
        </row>
        <row r="56">
          <cell r="X56"/>
          <cell r="Y56"/>
        </row>
        <row r="57">
          <cell r="X57"/>
          <cell r="Y57"/>
        </row>
        <row r="58">
          <cell r="X58"/>
          <cell r="Y58"/>
        </row>
        <row r="59">
          <cell r="X59"/>
          <cell r="Y59"/>
        </row>
        <row r="60">
          <cell r="X60"/>
          <cell r="Y60"/>
        </row>
        <row r="61">
          <cell r="X61"/>
          <cell r="Y61"/>
        </row>
        <row r="62">
          <cell r="X62"/>
          <cell r="Y62"/>
        </row>
        <row r="63">
          <cell r="X63"/>
          <cell r="Y63"/>
        </row>
        <row r="64">
          <cell r="X64"/>
          <cell r="Y64"/>
        </row>
        <row r="65">
          <cell r="X65"/>
          <cell r="Y65"/>
        </row>
        <row r="66">
          <cell r="X66"/>
          <cell r="Y66"/>
        </row>
        <row r="67">
          <cell r="X67"/>
          <cell r="Y67"/>
        </row>
        <row r="68">
          <cell r="X68"/>
          <cell r="Y68"/>
        </row>
        <row r="69">
          <cell r="X69"/>
          <cell r="Y69"/>
        </row>
        <row r="70">
          <cell r="X70"/>
          <cell r="Y70"/>
        </row>
        <row r="71">
          <cell r="X71"/>
          <cell r="Y71"/>
        </row>
        <row r="72">
          <cell r="X72"/>
          <cell r="Y72"/>
        </row>
        <row r="73">
          <cell r="X73"/>
          <cell r="Y73"/>
        </row>
        <row r="74">
          <cell r="X74"/>
          <cell r="Y74"/>
        </row>
        <row r="75">
          <cell r="X75"/>
          <cell r="Y75"/>
        </row>
        <row r="76">
          <cell r="X76"/>
          <cell r="Y76"/>
        </row>
        <row r="77">
          <cell r="X77"/>
          <cell r="Y77"/>
        </row>
        <row r="78">
          <cell r="X78"/>
          <cell r="Y78"/>
        </row>
        <row r="79">
          <cell r="X79"/>
          <cell r="Y79"/>
        </row>
        <row r="80">
          <cell r="X80"/>
          <cell r="Y80"/>
        </row>
        <row r="81">
          <cell r="X81"/>
          <cell r="Y81"/>
        </row>
        <row r="82">
          <cell r="X82"/>
          <cell r="Y82"/>
        </row>
        <row r="83">
          <cell r="X83"/>
          <cell r="Y83"/>
        </row>
        <row r="84">
          <cell r="X84"/>
          <cell r="Y84"/>
        </row>
        <row r="85">
          <cell r="X85"/>
          <cell r="Y85"/>
        </row>
        <row r="86">
          <cell r="X86"/>
          <cell r="Y86"/>
        </row>
        <row r="87">
          <cell r="X87"/>
          <cell r="Y87"/>
        </row>
        <row r="88">
          <cell r="X88"/>
          <cell r="Y88"/>
        </row>
        <row r="89">
          <cell r="X89"/>
          <cell r="Y89"/>
        </row>
        <row r="90">
          <cell r="X90"/>
          <cell r="Y90"/>
        </row>
        <row r="91">
          <cell r="X91"/>
          <cell r="Y91"/>
        </row>
        <row r="92">
          <cell r="X92"/>
          <cell r="Y92"/>
        </row>
        <row r="93">
          <cell r="X93"/>
          <cell r="Y93"/>
        </row>
        <row r="94">
          <cell r="X94"/>
          <cell r="Y94"/>
        </row>
        <row r="95">
          <cell r="X95"/>
          <cell r="Y95"/>
        </row>
        <row r="96">
          <cell r="X96"/>
          <cell r="Y96"/>
        </row>
        <row r="97">
          <cell r="X97"/>
          <cell r="Y97"/>
        </row>
        <row r="98">
          <cell r="X98"/>
          <cell r="Y98"/>
        </row>
        <row r="99">
          <cell r="X99"/>
          <cell r="Y99"/>
        </row>
        <row r="100">
          <cell r="X100"/>
          <cell r="Y100"/>
        </row>
        <row r="101">
          <cell r="X101"/>
          <cell r="Y101"/>
        </row>
        <row r="102">
          <cell r="X102"/>
          <cell r="Y102"/>
        </row>
        <row r="103">
          <cell r="X103"/>
          <cell r="Y103"/>
        </row>
        <row r="104">
          <cell r="X104"/>
          <cell r="Y104"/>
        </row>
        <row r="105">
          <cell r="X105"/>
          <cell r="Y105"/>
        </row>
        <row r="106">
          <cell r="X106"/>
          <cell r="Y106"/>
        </row>
        <row r="107">
          <cell r="X107"/>
          <cell r="Y107"/>
        </row>
        <row r="108">
          <cell r="X108"/>
          <cell r="Y108"/>
        </row>
        <row r="109">
          <cell r="X109"/>
          <cell r="Y109"/>
        </row>
        <row r="110">
          <cell r="X110"/>
          <cell r="Y110"/>
        </row>
        <row r="111">
          <cell r="X111"/>
          <cell r="Y111"/>
        </row>
        <row r="112">
          <cell r="X112"/>
          <cell r="Y112"/>
        </row>
        <row r="113">
          <cell r="X113"/>
          <cell r="Y113"/>
        </row>
        <row r="114">
          <cell r="X114"/>
          <cell r="Y114"/>
        </row>
        <row r="115">
          <cell r="X115"/>
          <cell r="Y115"/>
        </row>
        <row r="116">
          <cell r="X116"/>
          <cell r="Y116"/>
        </row>
        <row r="117">
          <cell r="X117"/>
          <cell r="Y117"/>
        </row>
        <row r="118">
          <cell r="X118"/>
          <cell r="Y118"/>
        </row>
        <row r="119">
          <cell r="X119"/>
          <cell r="Y119"/>
        </row>
        <row r="120">
          <cell r="X120"/>
          <cell r="Y120"/>
        </row>
        <row r="121">
          <cell r="X121"/>
          <cell r="Y121"/>
        </row>
        <row r="122">
          <cell r="X122"/>
          <cell r="Y122"/>
        </row>
        <row r="123">
          <cell r="X123"/>
          <cell r="Y123"/>
        </row>
        <row r="124">
          <cell r="X124"/>
          <cell r="Y124"/>
        </row>
        <row r="125">
          <cell r="X125"/>
          <cell r="Y125"/>
        </row>
        <row r="126">
          <cell r="X126"/>
          <cell r="Y126"/>
        </row>
        <row r="127">
          <cell r="X127"/>
          <cell r="Y127"/>
        </row>
        <row r="128">
          <cell r="X128"/>
          <cell r="Y128"/>
        </row>
        <row r="129">
          <cell r="X129"/>
          <cell r="Y129"/>
        </row>
        <row r="130">
          <cell r="X130"/>
          <cell r="Y130"/>
        </row>
        <row r="131">
          <cell r="X131"/>
          <cell r="Y131"/>
        </row>
        <row r="132">
          <cell r="X132"/>
          <cell r="Y132"/>
        </row>
        <row r="133">
          <cell r="X133"/>
          <cell r="Y133"/>
        </row>
        <row r="134">
          <cell r="X134"/>
          <cell r="Y134"/>
        </row>
        <row r="135">
          <cell r="X135"/>
          <cell r="Y135"/>
        </row>
        <row r="136">
          <cell r="X136"/>
          <cell r="Y136"/>
        </row>
        <row r="137">
          <cell r="X137"/>
          <cell r="Y137"/>
        </row>
        <row r="138">
          <cell r="X138"/>
          <cell r="Y138"/>
        </row>
        <row r="139">
          <cell r="X139"/>
          <cell r="Y139"/>
        </row>
        <row r="140">
          <cell r="X140"/>
          <cell r="Y140"/>
        </row>
        <row r="141">
          <cell r="X141"/>
          <cell r="Y141"/>
        </row>
        <row r="142">
          <cell r="X142"/>
          <cell r="Y142"/>
        </row>
        <row r="143">
          <cell r="X143"/>
          <cell r="Y143"/>
        </row>
        <row r="144">
          <cell r="X144"/>
          <cell r="Y144"/>
        </row>
        <row r="145">
          <cell r="X145"/>
          <cell r="Y145"/>
        </row>
        <row r="146">
          <cell r="X146"/>
          <cell r="Y146"/>
        </row>
        <row r="147">
          <cell r="X147"/>
          <cell r="Y147"/>
        </row>
        <row r="148">
          <cell r="X148"/>
          <cell r="Y148"/>
        </row>
        <row r="149">
          <cell r="X149"/>
          <cell r="Y149"/>
        </row>
        <row r="150">
          <cell r="X150"/>
          <cell r="Y150"/>
        </row>
        <row r="151">
          <cell r="X151"/>
          <cell r="Y151"/>
        </row>
        <row r="152">
          <cell r="X152"/>
          <cell r="Y152"/>
        </row>
        <row r="153">
          <cell r="X153"/>
          <cell r="Y153"/>
        </row>
        <row r="154">
          <cell r="X154"/>
          <cell r="Y154"/>
        </row>
        <row r="155">
          <cell r="X155"/>
          <cell r="Y155"/>
        </row>
        <row r="156">
          <cell r="X156"/>
          <cell r="Y156"/>
        </row>
        <row r="157">
          <cell r="X157"/>
          <cell r="Y157"/>
        </row>
        <row r="158">
          <cell r="X158"/>
          <cell r="Y158"/>
        </row>
        <row r="159">
          <cell r="X159"/>
          <cell r="Y159"/>
        </row>
        <row r="160">
          <cell r="X160"/>
          <cell r="Y160"/>
        </row>
        <row r="161">
          <cell r="X161"/>
          <cell r="Y161"/>
        </row>
        <row r="162">
          <cell r="X162"/>
          <cell r="Y162"/>
        </row>
        <row r="163">
          <cell r="X163"/>
          <cell r="Y163"/>
        </row>
        <row r="164">
          <cell r="X164"/>
          <cell r="Y164"/>
        </row>
        <row r="165">
          <cell r="X165"/>
          <cell r="Y165"/>
        </row>
        <row r="166">
          <cell r="X166"/>
          <cell r="Y166"/>
        </row>
        <row r="167">
          <cell r="X167"/>
          <cell r="Y167"/>
        </row>
        <row r="168">
          <cell r="X168"/>
          <cell r="Y168"/>
        </row>
        <row r="169">
          <cell r="X169"/>
          <cell r="Y169"/>
        </row>
        <row r="170">
          <cell r="X170"/>
          <cell r="Y170"/>
        </row>
        <row r="171">
          <cell r="X171"/>
          <cell r="Y171"/>
        </row>
        <row r="172">
          <cell r="X172"/>
          <cell r="Y172"/>
        </row>
        <row r="173">
          <cell r="X173"/>
          <cell r="Y173"/>
        </row>
        <row r="174">
          <cell r="X174"/>
          <cell r="Y174"/>
        </row>
        <row r="175">
          <cell r="X175"/>
          <cell r="Y175"/>
        </row>
        <row r="176">
          <cell r="X176"/>
          <cell r="Y176"/>
        </row>
        <row r="177">
          <cell r="X177"/>
          <cell r="Y177"/>
        </row>
        <row r="178">
          <cell r="X178"/>
          <cell r="Y178"/>
        </row>
        <row r="179">
          <cell r="X179"/>
          <cell r="Y179"/>
        </row>
        <row r="180">
          <cell r="X180"/>
          <cell r="Y180"/>
        </row>
        <row r="181">
          <cell r="X181"/>
          <cell r="Y181"/>
        </row>
        <row r="182">
          <cell r="X182"/>
          <cell r="Y182"/>
        </row>
        <row r="183">
          <cell r="X183"/>
          <cell r="Y183"/>
        </row>
        <row r="184">
          <cell r="X184"/>
          <cell r="Y184"/>
        </row>
        <row r="185">
          <cell r="X185"/>
          <cell r="Y185"/>
        </row>
        <row r="186">
          <cell r="X186"/>
          <cell r="Y186"/>
        </row>
        <row r="187">
          <cell r="X187"/>
          <cell r="Y187"/>
        </row>
        <row r="188">
          <cell r="X188"/>
          <cell r="Y188"/>
        </row>
        <row r="189">
          <cell r="X189"/>
          <cell r="Y189"/>
        </row>
        <row r="190">
          <cell r="X190"/>
          <cell r="Y190"/>
        </row>
        <row r="191">
          <cell r="X191"/>
          <cell r="Y191"/>
        </row>
        <row r="192">
          <cell r="X192"/>
          <cell r="Y192"/>
        </row>
        <row r="193">
          <cell r="X193"/>
          <cell r="Y193"/>
        </row>
        <row r="194">
          <cell r="X194"/>
          <cell r="Y194"/>
        </row>
        <row r="195">
          <cell r="X195"/>
          <cell r="Y195"/>
        </row>
        <row r="196">
          <cell r="X196"/>
          <cell r="Y196"/>
        </row>
        <row r="197">
          <cell r="X197"/>
          <cell r="Y197"/>
        </row>
        <row r="198">
          <cell r="X198"/>
          <cell r="Y198"/>
        </row>
        <row r="199">
          <cell r="X199"/>
          <cell r="Y199"/>
        </row>
        <row r="200">
          <cell r="X200"/>
          <cell r="Y200"/>
        </row>
      </sheetData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81B84B-018A-4CAA-857E-978FDF1538F7}" name="קבלת_חומרי_גלם" displayName="קבלת_חומרי_גלם" ref="A1:I37" totalsRowShown="0" headerRowDxfId="70" headerRowBorderDxfId="69" tableBorderDxfId="68">
  <autoFilter ref="A1:I37" xr:uid="{7B81B84B-018A-4CAA-857E-978FDF1538F7}"/>
  <tableColumns count="9">
    <tableColumn id="1" xr3:uid="{D2FC9900-496A-45D1-8FAD-FE3A956B51D4}" name="שם הספק"/>
    <tableColumn id="11" xr3:uid="{4135F890-62D2-489E-B981-2D3208E2C5A5}" name="תאריך קבלה"/>
    <tableColumn id="2" xr3:uid="{C75CD5AA-70EA-4563-A91E-4F7C2EC2F577}" name="סוג"/>
    <tableColumn id="3" xr3:uid="{FB3745F8-02FB-46DD-B88B-DF70830679CA}" name="סוג חומר הגלם"/>
    <tableColumn id="4" xr3:uid="{A36113B3-41F5-49EC-A4F3-50AB75F43147}" name="משקל/כמות [ק&quot;ג]"/>
    <tableColumn id="6" xr3:uid="{BE023110-8665-4D5E-8C29-90CE3837BD6E}" name="תוקף חומר הגלם"/>
    <tableColumn id="7" xr3:uid="{D94030B8-5B0A-4DF3-AC38-28F384FCD2CE}" name="עבר מעשר"/>
    <tableColumn id="5" xr3:uid="{08161D0F-8CFA-4A1A-BFDC-3C9A5B6274E2}" name="בעל תקן משרד הבריאות"/>
    <tableColumn id="8" xr3:uid="{B1152364-ADC2-435A-AD97-655ED11D7775}" name="בעל תעודת כשל&quot;פ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F1F17FE-41ED-4380-9886-A3C4746ADE8F}" name="סוג" displayName="סוג" ref="K2:K5" totalsRowShown="0">
  <autoFilter ref="K2:K5" xr:uid="{DF1F17FE-41ED-4380-9886-A3C4746ADE8F}"/>
  <tableColumns count="1">
    <tableColumn id="1" xr3:uid="{20C3F603-B10C-4272-91F3-AF9FCEBDCA28}" name="סוג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CFE7075-2743-4AAC-897B-3AC4C8B7D452}" name="תויות" displayName="תויות" ref="O2:O16" totalsRowShown="0" dataDxfId="67" tableBorderDxfId="66">
  <autoFilter ref="O2:O16" xr:uid="{3CFE7075-2743-4AAC-897B-3AC4C8B7D452}"/>
  <tableColumns count="1">
    <tableColumn id="1" xr3:uid="{E84C55ED-8E03-4363-ABCC-095A130CECDD}" name="תויות" dataDxfId="6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9A3255D-B79D-42C1-80A9-FC47B490F016}" name="תבלינים" displayName="תבלינים" ref="M2:M19" totalsRowShown="0" dataDxfId="64">
  <autoFilter ref="M2:M19" xr:uid="{39A3255D-B79D-42C1-80A9-FC47B490F016}"/>
  <tableColumns count="1">
    <tableColumn id="1" xr3:uid="{FEC183BB-4DAE-44CB-8DD2-3BA48BE91557}" name="תבלינים" dataDxfId="6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DED7C67-A85B-4309-AF73-72B12DFE39FB}" name="אריזות" displayName="אריזות" ref="Q2:Q16" totalsRowShown="0" dataDxfId="62">
  <autoFilter ref="Q2:Q16" xr:uid="{0DED7C67-A85B-4309-AF73-72B12DFE39FB}"/>
  <tableColumns count="1">
    <tableColumn id="1" xr3:uid="{3686544C-7DAB-4BA2-8461-BDB7A1E3F392}" name="אריזות" dataDxfId="6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55BEB18-D861-45C7-9D80-E938B8E01F74}" name="סוג_מוצר" displayName="סוג_מוצר" ref="S2:S10" totalsRowShown="0">
  <autoFilter ref="S2:S10" xr:uid="{B55BEB18-D861-45C7-9D80-E938B8E01F74}"/>
  <tableColumns count="1">
    <tableColumn id="1" xr3:uid="{CABAE940-1D80-441C-8E7D-96FD598E6A6A}" name="סוג מוצר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5FAE5A-25C9-40AA-9A1A-32747B55EEB3}" name="קבלת_תמרים" displayName="קבלת_תמרים" ref="A1:G97" totalsRowShown="0" headerRowDxfId="60" headerRowBorderDxfId="59" tableBorderDxfId="58">
  <autoFilter ref="A1:G97" xr:uid="{B45FAE5A-25C9-40AA-9A1A-32747B55EEB3}"/>
  <tableColumns count="7">
    <tableColumn id="1" xr3:uid="{8B0A39D6-1A81-47D9-9C2C-D6E70318D163}" name="שם הספק"/>
    <tableColumn id="2" xr3:uid="{F63EAAE8-5A9E-430E-AE03-F0A51E24C2B2}" name="תאריך קבלה" dataDxfId="57"/>
    <tableColumn id="3" xr3:uid="{365075A6-1049-42C9-8C92-29320FFB9F65}" name="משקל [ק&quot;ג]" dataDxfId="56"/>
    <tableColumn id="4" xr3:uid="{EBBD9A03-0DA1-4F35-AB71-F429592CBAC3}" name="מעשר - בוצע/לא בוצע"/>
    <tableColumn id="5" xr3:uid="{C36FEB66-FA86-4918-8A56-90368308307F}" name="תוקף חומר הגלם"/>
    <tableColumn id="6" xr3:uid="{E310CA97-BDC6-4F0F-90B9-9EC39BD3D78B}" name="כמות בתוקף" dataDxfId="55">
      <calculatedColumnFormula>IF(B2&lt;EDATE(TODAY(),-12), 0, קבלת_תמרים[[#This Row],[משקל '[ק"ג']]])</calculatedColumnFormula>
    </tableColumn>
    <tableColumn id="7" xr3:uid="{CE504F5D-C281-422A-BE7F-85149704F0D5}" name="הערות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E98299-C568-42CF-AB78-35AEFEF9E070}" name="תסיסה" displayName="תסיסה" ref="A1:I53" totalsRowShown="0" headerRowDxfId="54" dataDxfId="52" headerRowBorderDxfId="53" tableBorderDxfId="51" totalsRowBorderDxfId="50">
  <autoFilter ref="A1:I53" xr:uid="{03E98299-C568-42CF-AB78-35AEFEF9E070}"/>
  <tableColumns count="9">
    <tableColumn id="1" xr3:uid="{2A32E97E-9774-4721-B5F5-A1A96C1F1A2F}" name="תאריך" dataDxfId="49"/>
    <tableColumn id="2" xr3:uid="{3F46D966-7A1B-4F8B-8BDE-646C19B7D9B5}" name="גודל מיכל" dataDxfId="48"/>
    <tableColumn id="7" xr3:uid="{F787E38E-0E1B-4130-AC65-C74033A3FCAC}" name="תמרים [ק&quot;ג]" dataDxfId="47">
      <calculatedColumnFormula>280/1000*תסיסה[[#This Row],[גודל מיכל]]</calculatedColumnFormula>
    </tableColumn>
    <tableColumn id="8" xr3:uid="{639DD598-3262-41F8-B34C-22FD587EF0FD}" name="כמות (ליטר)" dataDxfId="46">
      <calculatedColumnFormula>תסיסה[[#This Row],[גודל מיכל]] - SUMIFS(זיקוק_1[כמות זיקוק מהתססה], זיקוק_1[תאריך 
תסיסה], "&gt;="&amp;תסיסה[[#This Row],[תאריך]], זיקוק_1[תאריך 
תסיסה], "&lt;="&amp;תסיסה[[#This Row],[תאריך]])</calculatedColumnFormula>
    </tableColumn>
    <tableColumn id="3" xr3:uid="{9E86592F-C130-4C30-9576-EAA67210B585}" name="טמפרטורה (°C)" dataDxfId="45"/>
    <tableColumn id="4" xr3:uid="{238E7539-F85E-4A64-B477-161F8B138936}" name="כמות סוכרים" dataDxfId="44"/>
    <tableColumn id="5" xr3:uid="{2E192F6C-9149-442F-B861-F99C7490CE3C}" name="pH" dataDxfId="43"/>
    <tableColumn id="9" xr3:uid="{AF419FB4-7226-4EE9-B342-923B8890ADA2}" name="יצא לזיקוק" dataDxfId="42"/>
    <tableColumn id="6" xr3:uid="{41D98E1D-45B6-4676-8692-7AA022E12FFB}" name="הערות" dataDxfId="41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0DDFD4-2DFE-4D54-A438-801731DB71FE}" name="זיקוק_1" displayName="זיקוק_1" ref="A1:L249" totalsRowShown="0" dataDxfId="40" tableBorderDxfId="39">
  <autoFilter ref="A1:L249" xr:uid="{AE0DDFD4-2DFE-4D54-A438-801731DB71FE}"/>
  <tableColumns count="12">
    <tableColumn id="1" xr3:uid="{27F4D81E-01D4-4A64-A216-7D7D64420BB2}" name="תאריך" dataDxfId="38"/>
    <tableColumn id="2" xr3:uid="{C6C5E37C-B96A-4CFF-A901-49A02E7569C8}" name="סוג" dataDxfId="37"/>
    <tableColumn id="11" xr3:uid="{EF3792EF-F550-4CB7-A397-D05C4D40A8AC}" name="שם _x000a_המזקקה" dataDxfId="36"/>
    <tableColumn id="3" xr3:uid="{48F78B5F-AF2E-4318-9F2C-1C0ED17530B1}" name="תאריך _x000a_תסיסה" dataDxfId="35"/>
    <tableColumn id="4" xr3:uid="{51FF4E8F-995E-469C-A3EC-6EA0A48613E7}" name="כמות זיקוק מהתססה" dataDxfId="34"/>
    <tableColumn id="5" xr3:uid="{5417B7C1-E429-4FBC-922F-757C980D9010}" name="ריכוז אלכוהול _x000a_התחלתי (%)" dataDxfId="33"/>
    <tableColumn id="6" xr3:uid="{8D747743-A330-483C-AD5D-6ED8750643D2}" name="טמפרטורה (°C) _x000a_ושעה - _x000a_ריכוז התחלתי" dataDxfId="32"/>
    <tableColumn id="7" xr3:uid="{940F540C-558E-4464-9E6D-F14D1B38FDBA}" name="סיום זיקוק_x000a_ריכוז אלכוהול בסוף (%)" dataDxfId="31"/>
    <tableColumn id="13" xr3:uid="{846643D6-6E08-4017-8D48-657B8FBAE273}" name="טמפרטורה (°C) " dataDxfId="30"/>
    <tableColumn id="8" xr3:uid="{2C2A6446-B0CF-40AD-9444-1BA4BC244A30}" name="זמן (דקות)" dataDxfId="29"/>
    <tableColumn id="9" xr3:uid="{05E9E1D3-D1EC-41AA-B788-9B9140A17AD7}" name="כמות מזוקקת [ליטר]" dataDxfId="28"/>
    <tableColumn id="10" xr3:uid="{87F5980C-2C6A-4158-89DF-E144C8094136}" name="הערות" dataDxfId="27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6D6A18-4A2A-4E88-9CDF-3EEAD2A23DB9}" name="זיקוק_2" displayName="זיקוק_2" ref="A1:K45" totalsRowShown="0" headerRowDxfId="26" headerRowBorderDxfId="25" tableBorderDxfId="24">
  <autoFilter ref="A1:K45" xr:uid="{B16D6A18-4A2A-4E88-9CDF-3EEAD2A23DB9}"/>
  <tableColumns count="11">
    <tableColumn id="1" xr3:uid="{8DC967EC-2C68-412F-8AE1-FF652C37F342}" name="תאריך"/>
    <tableColumn id="2" xr3:uid="{0EB2E8DC-A34F-43BD-88CD-399C2A966B96}" name="סוג"/>
    <tableColumn id="11" xr3:uid="{7934D093-D2FA-4B56-97B1-9E45FB21F854}" name="תאריכי זיקוק 1"/>
    <tableColumn id="10" xr3:uid="{5CAAF4CD-7513-4DC0-BAE0-B2EFECA6AA82}" name="מספר אצווה (Batch)"/>
    <tableColumn id="3" xr3:uid="{E60BE54F-86A5-4E5F-8756-5798D0B0A458}" name="ריכוז אלכוהול _x000a_התחלתי (%)"/>
    <tableColumn id="4" xr3:uid="{B63A74DC-F5AC-4CFE-9DBC-1E9BB1965874}" name="הפרדת ראש_x000a_5 ל"/>
    <tableColumn id="5" xr3:uid="{69D69F3D-154D-424E-A8A4-E39A4447D65D}" name="הפרדת זנבות_x000a_ריכוז אלכוהול בסוף (%)" dataDxfId="23"/>
    <tableColumn id="6" xr3:uid="{D24698E1-1FE9-46F6-AE51-8ED8E17A36E9}" name="טמפרטורה (°C)"/>
    <tableColumn id="7" xr3:uid="{F3FA42A3-5C60-4B86-8F44-4A8A6C897914}" name="זמן _x000a_(עד 55%)" dataDxfId="22"/>
    <tableColumn id="8" xr3:uid="{CCA956BB-906D-43FF-8D8E-BDD2A977265D}" name="כמות (ליטר)"/>
    <tableColumn id="9" xr3:uid="{36E6675D-FA96-473A-A617-B60DE7D922B4}" name="הערות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1B1F73-720A-4AF3-8BAD-203C3B698517}" name="ביקבוק" displayName="ביקבוק" ref="A1:N64" totalsRowShown="0" headerRowDxfId="21" dataDxfId="20" tableBorderDxfId="19">
  <autoFilter ref="A1:N64" xr:uid="{2C1B1F73-720A-4AF3-8BAD-203C3B698517}"/>
  <tableColumns count="14">
    <tableColumn id="1" xr3:uid="{54284242-FA0A-4A53-A6F7-72FAD7DBB485}" name="סוג משקה" dataDxfId="18"/>
    <tableColumn id="2" xr3:uid="{F2A7450D-CB27-4BAC-9CB5-1194D851489A}" name="תאריך בקבוק" dataDxfId="17"/>
    <tableColumn id="12" xr3:uid="{CA29DFA1-7EE2-4C45-92DF-108566982F50}" name="מספר אצווה _x000a_(Batch)" dataDxfId="16"/>
    <tableColumn id="13" xr3:uid="{7E157B58-0518-4DF8-B91E-19AA84AFE33D}" name="מספר חבית" dataDxfId="15"/>
    <tableColumn id="3" xr3:uid="{D81EEF96-0812-424E-8AF1-25F056775858}" name="תאריך זיקוק 2" dataDxfId="14"/>
    <tableColumn id="4" xr3:uid="{BA21EE00-A789-4E9D-93E2-F90839038002}" name="ריכוז אלכוהול (%)"/>
    <tableColumn id="5" xr3:uid="{F3A0311F-961E-4B40-B1AF-34A059BC382D}" name="עבר סינון"/>
    <tableColumn id="6" xr3:uid="{E188117C-6AC9-4E75-B741-FF5CE87CF807}" name="צבע" dataDxfId="13"/>
    <tableColumn id="7" xr3:uid="{5066DFAD-87BE-45EA-9F40-2AF2D399AADB}" name="טעם וריח" dataDxfId="12"/>
    <tableColumn id="8" xr3:uid="{5BF0587E-E4B4-4A3A-ACDB-5504EFED02D1}" name="היעדר מזהמים" dataDxfId="11"/>
    <tableColumn id="9" xr3:uid="{EE205B6D-9999-4AE2-9D25-48988F27C9C8}" name="כמות בקבוקים" dataDxfId="10"/>
    <tableColumn id="10" xr3:uid="{7BAEB964-2154-4042-B912-69B3FBF257AE}" name="החלטה" dataDxfId="9"/>
    <tableColumn id="11" xr3:uid="{70787195-D13C-4671-BE1F-276473E55FA3}" name="חתימת אחראי _x000a_איכות"/>
    <tableColumn id="14" xr3:uid="{C4BDA6E2-BDBD-4E05-8B5D-ECD2A46E49A9}" name="הערות" dataDxfId="8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08D75FA-B6D7-4D30-89B0-6D98777AEE14}" name="מלאי_בקבוקים" displayName="מלאי_בקבוקים" ref="B2:C9" totalsRowShown="0">
  <autoFilter ref="B2:C9" xr:uid="{908D75FA-B6D7-4D30-89B0-6D98777AEE14}"/>
  <tableColumns count="2">
    <tableColumn id="1" xr3:uid="{683C656E-A578-49BD-BC09-3A75BC21FAC7}" name="סוג משקה"/>
    <tableColumn id="2" xr3:uid="{BE7F17F6-F13A-431C-970B-5CC93A53C26C}" name="כמות במחסן" dataDxfId="7">
      <calculatedColumnFormula>SUMIF(ביקבוק[סוג משקה],מלאי_בקבוקים[[#This Row],[סוג משקה]], ביקבוק[כמות בקבוקים]) - SUMIF([1]מכירות25!$X$4:$X$200, מלאי_בקבוקים[[#This Row],[סוג משקה]], [1]מכירות25!$Y$4:$Y$200)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\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280B3-8E66-4FC8-A14B-9FE6D182EEC0}">
  <dimension ref="A1:S37"/>
  <sheetViews>
    <sheetView rightToLeft="1" workbookViewId="0">
      <selection activeCell="I15" sqref="I15"/>
    </sheetView>
  </sheetViews>
  <sheetFormatPr defaultRowHeight="14" x14ac:dyDescent="0.3"/>
  <cols>
    <col min="1" max="2" width="9.9140625" customWidth="1"/>
    <col min="3" max="3" width="11.9140625" customWidth="1"/>
    <col min="4" max="4" width="18.4140625" customWidth="1"/>
    <col min="5" max="5" width="11.25" customWidth="1"/>
    <col min="6" max="6" width="15.08203125" customWidth="1"/>
    <col min="7" max="10" width="13.58203125" customWidth="1"/>
    <col min="11" max="11" width="16.08203125" customWidth="1"/>
    <col min="15" max="15" width="19.75" bestFit="1" customWidth="1"/>
    <col min="17" max="17" width="19.25" bestFit="1" customWidth="1"/>
    <col min="19" max="19" width="19.75" bestFit="1" customWidth="1"/>
    <col min="21" max="21" width="15.83203125" bestFit="1" customWidth="1"/>
  </cols>
  <sheetData>
    <row r="1" spans="1:19" ht="28" x14ac:dyDescent="0.3">
      <c r="A1" s="28" t="s">
        <v>0</v>
      </c>
      <c r="B1" s="28" t="s">
        <v>1</v>
      </c>
      <c r="C1" s="28" t="s">
        <v>18</v>
      </c>
      <c r="D1" s="28" t="s">
        <v>2</v>
      </c>
      <c r="E1" s="26" t="s">
        <v>134</v>
      </c>
      <c r="F1" s="28" t="s">
        <v>4</v>
      </c>
      <c r="G1" s="28" t="s">
        <v>115</v>
      </c>
      <c r="H1" s="26" t="s">
        <v>117</v>
      </c>
      <c r="I1" s="26" t="s">
        <v>118</v>
      </c>
    </row>
    <row r="2" spans="1:19" ht="14.5" thickBot="1" x14ac:dyDescent="0.35">
      <c r="A2" t="s">
        <v>109</v>
      </c>
      <c r="C2" t="s">
        <v>91</v>
      </c>
      <c r="D2" t="s">
        <v>63</v>
      </c>
      <c r="E2">
        <v>1</v>
      </c>
      <c r="F2" s="2">
        <v>45983</v>
      </c>
      <c r="K2" t="s">
        <v>18</v>
      </c>
      <c r="M2" t="s">
        <v>91</v>
      </c>
      <c r="O2" t="s">
        <v>95</v>
      </c>
      <c r="Q2" t="s">
        <v>125</v>
      </c>
      <c r="S2" t="s">
        <v>135</v>
      </c>
    </row>
    <row r="3" spans="1:19" ht="14.5" thickTop="1" x14ac:dyDescent="0.3">
      <c r="A3" t="s">
        <v>116</v>
      </c>
      <c r="C3" t="s">
        <v>91</v>
      </c>
      <c r="D3" t="s">
        <v>56</v>
      </c>
      <c r="E3">
        <v>0.86</v>
      </c>
      <c r="F3" s="2">
        <v>45921</v>
      </c>
      <c r="K3" t="s">
        <v>95</v>
      </c>
      <c r="M3" s="35" t="s">
        <v>110</v>
      </c>
      <c r="O3" s="64" t="s">
        <v>126</v>
      </c>
      <c r="Q3" s="62" t="s">
        <v>76</v>
      </c>
      <c r="S3" s="69" t="s">
        <v>169</v>
      </c>
    </row>
    <row r="4" spans="1:19" x14ac:dyDescent="0.3">
      <c r="A4" t="s">
        <v>109</v>
      </c>
      <c r="C4" t="s">
        <v>91</v>
      </c>
      <c r="D4" t="s">
        <v>113</v>
      </c>
      <c r="E4">
        <v>0.32</v>
      </c>
      <c r="F4" s="2">
        <v>45912</v>
      </c>
      <c r="K4" t="s">
        <v>125</v>
      </c>
      <c r="M4" s="42" t="s">
        <v>54</v>
      </c>
      <c r="O4" s="37" t="s">
        <v>127</v>
      </c>
      <c r="Q4" s="63" t="s">
        <v>172</v>
      </c>
      <c r="S4" t="s">
        <v>36</v>
      </c>
    </row>
    <row r="5" spans="1:19" x14ac:dyDescent="0.3">
      <c r="A5" t="s">
        <v>109</v>
      </c>
      <c r="C5" t="s">
        <v>91</v>
      </c>
      <c r="D5" t="s">
        <v>112</v>
      </c>
      <c r="E5">
        <v>0.63</v>
      </c>
      <c r="F5" s="2">
        <v>45910</v>
      </c>
      <c r="K5" t="s">
        <v>91</v>
      </c>
      <c r="M5" s="35" t="s">
        <v>56</v>
      </c>
      <c r="O5" s="33" t="s">
        <v>80</v>
      </c>
      <c r="Q5" s="62" t="s">
        <v>90</v>
      </c>
      <c r="S5" t="s">
        <v>32</v>
      </c>
    </row>
    <row r="6" spans="1:19" x14ac:dyDescent="0.3">
      <c r="A6" t="s">
        <v>109</v>
      </c>
      <c r="C6" t="s">
        <v>91</v>
      </c>
      <c r="D6" t="s">
        <v>114</v>
      </c>
      <c r="E6">
        <v>0.88</v>
      </c>
      <c r="F6" s="2">
        <v>45903</v>
      </c>
      <c r="M6" s="42" t="s">
        <v>111</v>
      </c>
      <c r="O6" s="37" t="s">
        <v>81</v>
      </c>
      <c r="Q6" s="63" t="s">
        <v>87</v>
      </c>
      <c r="S6" t="s">
        <v>56</v>
      </c>
    </row>
    <row r="7" spans="1:19" x14ac:dyDescent="0.3">
      <c r="A7" t="s">
        <v>116</v>
      </c>
      <c r="C7" t="s">
        <v>91</v>
      </c>
      <c r="D7" t="s">
        <v>110</v>
      </c>
      <c r="E7">
        <v>0.81</v>
      </c>
      <c r="F7" s="2">
        <v>45920</v>
      </c>
      <c r="M7" s="35" t="s">
        <v>112</v>
      </c>
      <c r="O7" s="33" t="s">
        <v>82</v>
      </c>
      <c r="Q7" s="62" t="s">
        <v>88</v>
      </c>
      <c r="S7" t="s">
        <v>136</v>
      </c>
    </row>
    <row r="8" spans="1:19" x14ac:dyDescent="0.3">
      <c r="A8" t="s">
        <v>109</v>
      </c>
      <c r="C8" t="s">
        <v>91</v>
      </c>
      <c r="D8" t="s">
        <v>54</v>
      </c>
      <c r="E8">
        <v>0.44</v>
      </c>
      <c r="F8" s="2">
        <v>45940</v>
      </c>
      <c r="M8" s="42" t="s">
        <v>113</v>
      </c>
      <c r="O8" s="37" t="s">
        <v>77</v>
      </c>
      <c r="Q8" s="63" t="s">
        <v>132</v>
      </c>
      <c r="S8" t="s">
        <v>137</v>
      </c>
    </row>
    <row r="9" spans="1:19" x14ac:dyDescent="0.3">
      <c r="A9" t="s">
        <v>109</v>
      </c>
      <c r="C9" t="s">
        <v>91</v>
      </c>
      <c r="D9" t="s">
        <v>140</v>
      </c>
      <c r="E9">
        <v>0.24</v>
      </c>
      <c r="F9" s="2">
        <v>45931</v>
      </c>
      <c r="M9" s="35" t="s">
        <v>114</v>
      </c>
      <c r="O9" s="33" t="s">
        <v>170</v>
      </c>
      <c r="Q9" s="62" t="s">
        <v>173</v>
      </c>
      <c r="S9" t="s">
        <v>68</v>
      </c>
    </row>
    <row r="10" spans="1:19" x14ac:dyDescent="0.3">
      <c r="A10" t="s">
        <v>109</v>
      </c>
      <c r="C10" t="s">
        <v>91</v>
      </c>
      <c r="D10" t="s">
        <v>139</v>
      </c>
      <c r="E10">
        <v>1.32</v>
      </c>
      <c r="F10" s="2">
        <v>45931</v>
      </c>
      <c r="M10" s="42" t="s">
        <v>63</v>
      </c>
      <c r="O10" s="37" t="s">
        <v>171</v>
      </c>
      <c r="Q10" s="63" t="s">
        <v>133</v>
      </c>
    </row>
    <row r="11" spans="1:19" x14ac:dyDescent="0.3">
      <c r="A11" t="s">
        <v>143</v>
      </c>
      <c r="C11" t="s">
        <v>91</v>
      </c>
      <c r="D11" t="s">
        <v>120</v>
      </c>
      <c r="E11">
        <v>3.69</v>
      </c>
      <c r="F11" s="2">
        <v>45931</v>
      </c>
      <c r="M11" s="35" t="s">
        <v>139</v>
      </c>
      <c r="O11" s="33" t="s">
        <v>83</v>
      </c>
      <c r="Q11" s="62" t="s">
        <v>128</v>
      </c>
    </row>
    <row r="12" spans="1:19" x14ac:dyDescent="0.3">
      <c r="A12" t="s">
        <v>143</v>
      </c>
      <c r="C12" t="s">
        <v>91</v>
      </c>
      <c r="D12" t="s">
        <v>122</v>
      </c>
      <c r="E12">
        <v>0.33</v>
      </c>
      <c r="F12" s="2">
        <v>45931</v>
      </c>
      <c r="M12" s="42" t="s">
        <v>140</v>
      </c>
      <c r="O12" s="37" t="s">
        <v>78</v>
      </c>
      <c r="Q12" s="62" t="s">
        <v>129</v>
      </c>
    </row>
    <row r="13" spans="1:19" x14ac:dyDescent="0.3">
      <c r="A13" t="s">
        <v>142</v>
      </c>
      <c r="C13" t="s">
        <v>91</v>
      </c>
      <c r="D13" t="s">
        <v>63</v>
      </c>
      <c r="E13">
        <v>0.2</v>
      </c>
      <c r="F13" s="2">
        <v>46578</v>
      </c>
      <c r="M13" s="35" t="s">
        <v>119</v>
      </c>
      <c r="O13" s="33" t="s">
        <v>84</v>
      </c>
      <c r="Q13" s="62" t="s">
        <v>130</v>
      </c>
    </row>
    <row r="14" spans="1:19" x14ac:dyDescent="0.3">
      <c r="A14" t="s">
        <v>142</v>
      </c>
      <c r="C14" t="s">
        <v>91</v>
      </c>
      <c r="D14" t="s">
        <v>111</v>
      </c>
      <c r="E14">
        <v>0.93</v>
      </c>
      <c r="F14" s="2">
        <v>46487</v>
      </c>
      <c r="M14" s="42" t="s">
        <v>66</v>
      </c>
      <c r="O14" s="37" t="s">
        <v>79</v>
      </c>
      <c r="Q14" s="62" t="s">
        <v>131</v>
      </c>
    </row>
    <row r="15" spans="1:19" x14ac:dyDescent="0.3">
      <c r="A15" t="s">
        <v>147</v>
      </c>
      <c r="B15" t="s">
        <v>98</v>
      </c>
      <c r="C15" t="s">
        <v>95</v>
      </c>
      <c r="D15" t="s">
        <v>79</v>
      </c>
      <c r="E15">
        <v>1000</v>
      </c>
      <c r="M15" s="35" t="s">
        <v>120</v>
      </c>
      <c r="O15" s="33" t="s">
        <v>85</v>
      </c>
      <c r="Q15" s="62" t="s">
        <v>121</v>
      </c>
    </row>
    <row r="16" spans="1:19" x14ac:dyDescent="0.3">
      <c r="A16" t="s">
        <v>147</v>
      </c>
      <c r="B16" t="s">
        <v>98</v>
      </c>
      <c r="C16" t="s">
        <v>95</v>
      </c>
      <c r="D16" t="s">
        <v>78</v>
      </c>
      <c r="E16">
        <v>997</v>
      </c>
      <c r="M16" s="42" t="s">
        <v>122</v>
      </c>
      <c r="O16" s="34" t="s">
        <v>86</v>
      </c>
      <c r="Q16" s="62"/>
    </row>
    <row r="17" spans="1:15" x14ac:dyDescent="0.3">
      <c r="A17" t="s">
        <v>147</v>
      </c>
      <c r="B17" t="s">
        <v>98</v>
      </c>
      <c r="C17" t="s">
        <v>95</v>
      </c>
      <c r="D17" t="s">
        <v>77</v>
      </c>
      <c r="E17">
        <v>676</v>
      </c>
      <c r="M17" s="35" t="s">
        <v>123</v>
      </c>
      <c r="O17" s="33"/>
    </row>
    <row r="18" spans="1:15" x14ac:dyDescent="0.3">
      <c r="A18" t="s">
        <v>147</v>
      </c>
      <c r="B18" t="s">
        <v>98</v>
      </c>
      <c r="C18" t="s">
        <v>95</v>
      </c>
      <c r="D18" t="s">
        <v>171</v>
      </c>
      <c r="E18">
        <v>700</v>
      </c>
      <c r="M18" s="42" t="s">
        <v>124</v>
      </c>
    </row>
    <row r="19" spans="1:15" x14ac:dyDescent="0.3">
      <c r="A19" t="s">
        <v>147</v>
      </c>
      <c r="B19" t="s">
        <v>98</v>
      </c>
      <c r="C19" t="s">
        <v>95</v>
      </c>
      <c r="D19" t="s">
        <v>81</v>
      </c>
      <c r="E19">
        <v>900</v>
      </c>
      <c r="M19" s="35" t="s">
        <v>70</v>
      </c>
    </row>
    <row r="20" spans="1:15" x14ac:dyDescent="0.3">
      <c r="A20" t="s">
        <v>147</v>
      </c>
      <c r="B20" t="s">
        <v>98</v>
      </c>
      <c r="C20" t="s">
        <v>95</v>
      </c>
      <c r="D20" t="s">
        <v>127</v>
      </c>
      <c r="E20">
        <v>400</v>
      </c>
    </row>
    <row r="21" spans="1:15" x14ac:dyDescent="0.3">
      <c r="A21" t="s">
        <v>147</v>
      </c>
      <c r="B21" t="s">
        <v>98</v>
      </c>
      <c r="C21" t="s">
        <v>95</v>
      </c>
      <c r="D21" t="s">
        <v>85</v>
      </c>
      <c r="E21">
        <v>3530</v>
      </c>
    </row>
    <row r="22" spans="1:15" x14ac:dyDescent="0.3">
      <c r="A22" t="s">
        <v>147</v>
      </c>
      <c r="B22" t="s">
        <v>98</v>
      </c>
      <c r="C22" t="s">
        <v>95</v>
      </c>
      <c r="D22" t="s">
        <v>86</v>
      </c>
      <c r="E22">
        <v>1710</v>
      </c>
    </row>
    <row r="23" spans="1:15" x14ac:dyDescent="0.3">
      <c r="A23" t="s">
        <v>147</v>
      </c>
      <c r="B23" t="s">
        <v>98</v>
      </c>
      <c r="C23" t="s">
        <v>95</v>
      </c>
      <c r="D23" t="s">
        <v>80</v>
      </c>
      <c r="E23">
        <v>800</v>
      </c>
    </row>
    <row r="24" spans="1:15" x14ac:dyDescent="0.3">
      <c r="A24" t="s">
        <v>147</v>
      </c>
      <c r="B24" t="s">
        <v>98</v>
      </c>
      <c r="C24" t="s">
        <v>95</v>
      </c>
      <c r="D24" t="s">
        <v>126</v>
      </c>
      <c r="E24">
        <v>400</v>
      </c>
    </row>
    <row r="25" spans="1:15" x14ac:dyDescent="0.3">
      <c r="A25" t="s">
        <v>147</v>
      </c>
      <c r="B25" t="s">
        <v>98</v>
      </c>
      <c r="C25" t="s">
        <v>95</v>
      </c>
      <c r="D25" t="s">
        <v>83</v>
      </c>
      <c r="E25">
        <v>997</v>
      </c>
    </row>
    <row r="26" spans="1:15" x14ac:dyDescent="0.3">
      <c r="A26" t="s">
        <v>147</v>
      </c>
      <c r="B26" t="s">
        <v>98</v>
      </c>
      <c r="C26" t="s">
        <v>95</v>
      </c>
      <c r="D26" t="s">
        <v>84</v>
      </c>
      <c r="E26">
        <v>1000</v>
      </c>
    </row>
    <row r="27" spans="1:15" x14ac:dyDescent="0.3">
      <c r="A27" t="s">
        <v>147</v>
      </c>
      <c r="B27" t="s">
        <v>98</v>
      </c>
      <c r="C27" t="s">
        <v>95</v>
      </c>
      <c r="D27" t="s">
        <v>170</v>
      </c>
      <c r="E27">
        <v>700</v>
      </c>
    </row>
    <row r="28" spans="1:15" x14ac:dyDescent="0.3">
      <c r="A28" t="s">
        <v>147</v>
      </c>
      <c r="B28" t="s">
        <v>98</v>
      </c>
      <c r="C28" t="s">
        <v>95</v>
      </c>
      <c r="D28" t="s">
        <v>82</v>
      </c>
      <c r="E28">
        <v>650</v>
      </c>
    </row>
    <row r="29" spans="1:15" x14ac:dyDescent="0.3">
      <c r="A29" t="s">
        <v>148</v>
      </c>
      <c r="B29" t="s">
        <v>98</v>
      </c>
      <c r="C29" t="s">
        <v>125</v>
      </c>
      <c r="D29" t="s">
        <v>121</v>
      </c>
      <c r="E29">
        <v>4</v>
      </c>
    </row>
    <row r="30" spans="1:15" x14ac:dyDescent="0.3">
      <c r="A30" t="s">
        <v>149</v>
      </c>
      <c r="B30" t="s">
        <v>98</v>
      </c>
      <c r="C30" t="s">
        <v>125</v>
      </c>
      <c r="D30" t="s">
        <v>88</v>
      </c>
      <c r="E30">
        <v>1745</v>
      </c>
    </row>
    <row r="31" spans="1:15" x14ac:dyDescent="0.3">
      <c r="A31" t="s">
        <v>149</v>
      </c>
      <c r="B31" t="s">
        <v>98</v>
      </c>
      <c r="C31" t="s">
        <v>125</v>
      </c>
      <c r="D31" t="s">
        <v>87</v>
      </c>
      <c r="E31">
        <v>950</v>
      </c>
    </row>
    <row r="32" spans="1:15" x14ac:dyDescent="0.3">
      <c r="A32" t="s">
        <v>149</v>
      </c>
      <c r="B32" t="s">
        <v>98</v>
      </c>
      <c r="C32" t="s">
        <v>125</v>
      </c>
      <c r="D32" t="s">
        <v>76</v>
      </c>
      <c r="E32">
        <v>1750</v>
      </c>
    </row>
    <row r="33" spans="1:8" x14ac:dyDescent="0.3">
      <c r="A33" t="s">
        <v>149</v>
      </c>
      <c r="B33" t="s">
        <v>98</v>
      </c>
      <c r="C33" t="s">
        <v>125</v>
      </c>
      <c r="D33" t="s">
        <v>172</v>
      </c>
      <c r="E33">
        <v>1056</v>
      </c>
    </row>
    <row r="34" spans="1:8" x14ac:dyDescent="0.3">
      <c r="A34" t="s">
        <v>149</v>
      </c>
      <c r="B34" t="s">
        <v>98</v>
      </c>
      <c r="C34" t="s">
        <v>125</v>
      </c>
      <c r="D34" t="s">
        <v>90</v>
      </c>
      <c r="E34">
        <v>1200</v>
      </c>
    </row>
    <row r="35" spans="1:8" x14ac:dyDescent="0.3">
      <c r="A35" t="s">
        <v>154</v>
      </c>
      <c r="B35" s="2">
        <v>45657</v>
      </c>
      <c r="C35" t="s">
        <v>91</v>
      </c>
      <c r="D35" t="s">
        <v>123</v>
      </c>
      <c r="E35">
        <v>1.36</v>
      </c>
      <c r="F35" s="2">
        <v>46022</v>
      </c>
      <c r="G35" t="s">
        <v>75</v>
      </c>
      <c r="H35" t="s">
        <v>75</v>
      </c>
    </row>
    <row r="36" spans="1:8" x14ac:dyDescent="0.3">
      <c r="A36" t="s">
        <v>155</v>
      </c>
      <c r="B36" s="2">
        <v>45657</v>
      </c>
      <c r="C36" t="s">
        <v>91</v>
      </c>
      <c r="D36" t="s">
        <v>56</v>
      </c>
      <c r="E36">
        <v>-0.26</v>
      </c>
      <c r="F36" s="3" t="s">
        <v>19</v>
      </c>
      <c r="G36" t="s">
        <v>24</v>
      </c>
      <c r="H36" t="s">
        <v>24</v>
      </c>
    </row>
    <row r="37" spans="1:8" x14ac:dyDescent="0.3">
      <c r="A37" t="s">
        <v>116</v>
      </c>
      <c r="B37" s="2">
        <v>45694</v>
      </c>
      <c r="C37" t="s">
        <v>91</v>
      </c>
      <c r="D37" t="s">
        <v>56</v>
      </c>
      <c r="E37">
        <v>400</v>
      </c>
      <c r="G37" t="s">
        <v>24</v>
      </c>
      <c r="H37" t="s">
        <v>24</v>
      </c>
    </row>
  </sheetData>
  <dataValidations count="2">
    <dataValidation type="list" allowBlank="1" showInputMessage="1" showErrorMessage="1" sqref="C2:C37" xr:uid="{2F095175-4269-4BFE-AB14-034A762A820C}">
      <formula1>$K$3:$K$5</formula1>
    </dataValidation>
    <dataValidation type="list" allowBlank="1" showInputMessage="1" showErrorMessage="1" sqref="D2:D37" xr:uid="{175B9901-60E9-44E5-9C89-E7B405E54EF2}">
      <formula1>INDIRECT(C2)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rightToLeft="1" topLeftCell="A2" workbookViewId="0">
      <selection activeCell="B10" sqref="B10"/>
    </sheetView>
  </sheetViews>
  <sheetFormatPr defaultRowHeight="14" x14ac:dyDescent="0.3"/>
  <cols>
    <col min="1" max="1" width="14.6640625" customWidth="1"/>
    <col min="2" max="2" width="14.25" bestFit="1" customWidth="1"/>
    <col min="3" max="3" width="13.58203125" style="16" bestFit="1" customWidth="1"/>
    <col min="4" max="4" width="22.4140625" customWidth="1"/>
    <col min="5" max="5" width="29.1640625" customWidth="1"/>
    <col min="7" max="7" width="20" customWidth="1"/>
  </cols>
  <sheetData>
    <row r="1" spans="1:8" x14ac:dyDescent="0.3">
      <c r="A1" s="28" t="s">
        <v>0</v>
      </c>
      <c r="B1" s="28" t="s">
        <v>1</v>
      </c>
      <c r="C1" s="43" t="s">
        <v>100</v>
      </c>
      <c r="D1" s="28" t="s">
        <v>74</v>
      </c>
      <c r="E1" s="28" t="s">
        <v>4</v>
      </c>
      <c r="F1" s="28" t="s">
        <v>99</v>
      </c>
      <c r="G1" s="28" t="s">
        <v>8</v>
      </c>
    </row>
    <row r="2" spans="1:8" x14ac:dyDescent="0.3">
      <c r="A2" s="45" t="s">
        <v>144</v>
      </c>
      <c r="B2" s="73">
        <v>45655</v>
      </c>
      <c r="C2" s="45">
        <v>3600</v>
      </c>
      <c r="D2" s="45" t="s">
        <v>24</v>
      </c>
      <c r="E2" t="s">
        <v>17</v>
      </c>
      <c r="F2">
        <f ca="1">IF(B2&lt;EDATE(TODAY(),-12), 0, קבלת_תמרים[[#This Row],[משקל '[ק"ג']]])</f>
        <v>0</v>
      </c>
      <c r="H2">
        <f ca="1">SUM(קבלת_תמרים[[#All],[כמות בתוקף]])</f>
        <v>14175</v>
      </c>
    </row>
    <row r="3" spans="1:8" ht="28" x14ac:dyDescent="0.3">
      <c r="A3" s="74" t="s">
        <v>145</v>
      </c>
      <c r="B3" s="75">
        <v>45655</v>
      </c>
      <c r="C3" s="23">
        <v>8200</v>
      </c>
      <c r="D3" s="76" t="s">
        <v>24</v>
      </c>
      <c r="E3" s="5" t="s">
        <v>17</v>
      </c>
      <c r="F3" s="5">
        <f ca="1">IF(B3&lt;EDATE(TODAY(),-12), 0, קבלת_תמרים[[#This Row],[משקל '[ק"ג']]])</f>
        <v>0</v>
      </c>
    </row>
    <row r="4" spans="1:8" x14ac:dyDescent="0.3">
      <c r="A4" t="s">
        <v>162</v>
      </c>
      <c r="B4" s="2">
        <v>45662</v>
      </c>
      <c r="C4" s="16">
        <v>400</v>
      </c>
      <c r="D4" s="36" t="s">
        <v>24</v>
      </c>
      <c r="E4" t="s">
        <v>17</v>
      </c>
      <c r="F4">
        <f ca="1">IF(B4&lt;EDATE(TODAY(),-12), 0, קבלת_תמרים[[#This Row],[משקל '[ק"ג']]])</f>
        <v>0</v>
      </c>
    </row>
    <row r="5" spans="1:8" x14ac:dyDescent="0.3">
      <c r="A5" t="s">
        <v>162</v>
      </c>
      <c r="B5" s="2">
        <v>45676</v>
      </c>
      <c r="C5" s="16">
        <v>400</v>
      </c>
      <c r="D5" s="36" t="s">
        <v>24</v>
      </c>
      <c r="E5" t="s">
        <v>17</v>
      </c>
      <c r="F5">
        <f ca="1">IF(B5&lt;EDATE(TODAY(),-12), 0, קבלת_תמרים[[#This Row],[משקל '[ק"ג']]])</f>
        <v>0</v>
      </c>
    </row>
    <row r="6" spans="1:8" x14ac:dyDescent="0.3">
      <c r="A6" t="s">
        <v>162</v>
      </c>
      <c r="B6" s="2">
        <v>45686</v>
      </c>
      <c r="C6" s="16">
        <v>400</v>
      </c>
      <c r="D6" s="36" t="s">
        <v>24</v>
      </c>
      <c r="E6" t="s">
        <v>17</v>
      </c>
      <c r="F6">
        <f ca="1">IF(B6&lt;EDATE(TODAY(),-12), 0, קבלת_תמרים[[#This Row],[משקל '[ק"ג']]])</f>
        <v>0</v>
      </c>
    </row>
    <row r="7" spans="1:8" x14ac:dyDescent="0.3">
      <c r="A7" t="s">
        <v>208</v>
      </c>
      <c r="B7" s="2">
        <v>45686</v>
      </c>
      <c r="C7" s="16">
        <v>1000</v>
      </c>
      <c r="D7" s="36" t="s">
        <v>24</v>
      </c>
      <c r="E7" t="s">
        <v>17</v>
      </c>
      <c r="F7">
        <f ca="1">IF(B7&lt;EDATE(TODAY(),-12), 0, קבלת_תמרים[[#This Row],[משקל '[ק"ג']]])</f>
        <v>0</v>
      </c>
    </row>
    <row r="8" spans="1:8" x14ac:dyDescent="0.3">
      <c r="A8" t="s">
        <v>208</v>
      </c>
      <c r="B8" s="2">
        <v>45753</v>
      </c>
      <c r="C8" s="16">
        <v>400</v>
      </c>
      <c r="D8" s="36" t="s">
        <v>24</v>
      </c>
      <c r="E8" t="s">
        <v>17</v>
      </c>
      <c r="F8">
        <f ca="1">IF(B8&lt;EDATE(TODAY(),-12), 0, קבלת_תמרים[[#This Row],[משקל '[ק"ג']]])</f>
        <v>400</v>
      </c>
    </row>
    <row r="9" spans="1:8" x14ac:dyDescent="0.3">
      <c r="A9" t="s">
        <v>162</v>
      </c>
      <c r="B9" s="2" t="s">
        <v>446</v>
      </c>
      <c r="C9" s="98">
        <v>12550</v>
      </c>
      <c r="D9" s="36" t="s">
        <v>24</v>
      </c>
      <c r="E9" t="s">
        <v>17</v>
      </c>
      <c r="F9">
        <f ca="1">IF(B9&lt;EDATE(TODAY(),-12), 0, קבלת_תמרים[[#This Row],[משקל '[ק"ג']]])</f>
        <v>12550</v>
      </c>
      <c r="G9" t="s">
        <v>583</v>
      </c>
    </row>
    <row r="10" spans="1:8" x14ac:dyDescent="0.3">
      <c r="A10" t="s">
        <v>162</v>
      </c>
      <c r="B10" s="2">
        <v>45974</v>
      </c>
      <c r="C10" s="16">
        <v>1225</v>
      </c>
      <c r="D10" s="36" t="s">
        <v>24</v>
      </c>
      <c r="E10" t="s">
        <v>17</v>
      </c>
      <c r="F10">
        <f ca="1">IF(B10&lt;EDATE(TODAY(),-12), 0, קבלת_תמרים[[#This Row],[משקל '[ק"ג']]])</f>
        <v>1225</v>
      </c>
      <c r="G10" t="s">
        <v>582</v>
      </c>
    </row>
    <row r="11" spans="1:8" x14ac:dyDescent="0.3">
      <c r="B11" s="2"/>
      <c r="D11" s="36"/>
      <c r="F11">
        <f ca="1">IF(B11&lt;EDATE(TODAY(),-12), 0, קבלת_תמרים[[#This Row],[משקל '[ק"ג']]])</f>
        <v>0</v>
      </c>
    </row>
    <row r="12" spans="1:8" x14ac:dyDescent="0.3">
      <c r="B12" s="2"/>
      <c r="D12" s="36"/>
      <c r="F12">
        <f ca="1">IF(B12&lt;EDATE(TODAY(),-12), 0, קבלת_תמרים[[#This Row],[משקל '[ק"ג']]])</f>
        <v>0</v>
      </c>
    </row>
    <row r="13" spans="1:8" x14ac:dyDescent="0.3">
      <c r="B13" s="2"/>
      <c r="D13" s="36"/>
      <c r="F13">
        <f ca="1">IF(B13&lt;EDATE(TODAY(),-12), 0, קבלת_תמרים[[#This Row],[משקל '[ק"ג']]])</f>
        <v>0</v>
      </c>
    </row>
    <row r="14" spans="1:8" x14ac:dyDescent="0.3">
      <c r="B14" s="2"/>
      <c r="D14" s="36"/>
      <c r="F14">
        <f ca="1">IF(B14&lt;EDATE(TODAY(),-12), 0, קבלת_תמרים[[#This Row],[משקל '[ק"ג']]])</f>
        <v>0</v>
      </c>
    </row>
    <row r="15" spans="1:8" x14ac:dyDescent="0.3">
      <c r="B15" s="2"/>
      <c r="D15" s="36"/>
      <c r="F15">
        <f ca="1">IF(B15&lt;EDATE(TODAY(),-12), 0, קבלת_תמרים[[#This Row],[משקל '[ק"ג']]])</f>
        <v>0</v>
      </c>
    </row>
    <row r="16" spans="1:8" x14ac:dyDescent="0.3">
      <c r="B16" s="2"/>
      <c r="D16" s="36"/>
      <c r="F16">
        <f ca="1">IF(B16&lt;EDATE(TODAY(),-12), 0, קבלת_תמרים[[#This Row],[משקל '[ק"ג']]])</f>
        <v>0</v>
      </c>
    </row>
    <row r="17" spans="2:6" x14ac:dyDescent="0.3">
      <c r="B17" s="2"/>
      <c r="D17" s="36"/>
      <c r="F17">
        <f ca="1">IF(B17&lt;EDATE(TODAY(),-12), 0, קבלת_תמרים[[#This Row],[משקל '[ק"ג']]])</f>
        <v>0</v>
      </c>
    </row>
    <row r="18" spans="2:6" x14ac:dyDescent="0.3">
      <c r="B18" s="2"/>
      <c r="D18" s="36"/>
      <c r="F18">
        <f ca="1">IF(B18&lt;EDATE(TODAY(),-12), 0, קבלת_תמרים[[#This Row],[משקל '[ק"ג']]])</f>
        <v>0</v>
      </c>
    </row>
    <row r="19" spans="2:6" x14ac:dyDescent="0.3">
      <c r="B19" s="2"/>
      <c r="D19" s="36"/>
      <c r="F19">
        <f ca="1">IF(B19&lt;EDATE(TODAY(),-12), 0, קבלת_תמרים[[#This Row],[משקל '[ק"ג']]])</f>
        <v>0</v>
      </c>
    </row>
    <row r="20" spans="2:6" x14ac:dyDescent="0.3">
      <c r="B20" s="2"/>
      <c r="D20" s="36"/>
      <c r="F20">
        <f ca="1">IF(B20&lt;EDATE(TODAY(),-12), 0, קבלת_תמרים[[#This Row],[משקל '[ק"ג']]])</f>
        <v>0</v>
      </c>
    </row>
    <row r="21" spans="2:6" x14ac:dyDescent="0.3">
      <c r="B21" s="2"/>
      <c r="D21" s="36"/>
      <c r="F21">
        <f ca="1">IF(B21&lt;EDATE(TODAY(),-12), 0, קבלת_תמרים[[#This Row],[משקל '[ק"ג']]])</f>
        <v>0</v>
      </c>
    </row>
    <row r="22" spans="2:6" x14ac:dyDescent="0.3">
      <c r="B22" s="2"/>
      <c r="D22" s="36"/>
      <c r="F22">
        <f ca="1">IF(B22&lt;EDATE(TODAY(),-12), 0, קבלת_תמרים[[#This Row],[משקל '[ק"ג']]])</f>
        <v>0</v>
      </c>
    </row>
    <row r="23" spans="2:6" x14ac:dyDescent="0.3">
      <c r="B23" s="2"/>
      <c r="D23" s="36"/>
      <c r="F23">
        <f ca="1">IF(B23&lt;EDATE(TODAY(),-12), 0, קבלת_תמרים[[#This Row],[משקל '[ק"ג']]])</f>
        <v>0</v>
      </c>
    </row>
    <row r="24" spans="2:6" x14ac:dyDescent="0.3">
      <c r="B24" s="2"/>
      <c r="D24" s="36"/>
      <c r="F24">
        <f ca="1">IF(B24&lt;EDATE(TODAY(),-12), 0, קבלת_תמרים[[#This Row],[משקל '[ק"ג']]])</f>
        <v>0</v>
      </c>
    </row>
    <row r="25" spans="2:6" x14ac:dyDescent="0.3">
      <c r="B25" s="2"/>
      <c r="D25" s="36"/>
      <c r="F25">
        <f ca="1">IF(B25&lt;EDATE(TODAY(),-12), 0, קבלת_תמרים[[#This Row],[משקל '[ק"ג']]])</f>
        <v>0</v>
      </c>
    </row>
    <row r="26" spans="2:6" x14ac:dyDescent="0.3">
      <c r="B26" s="2"/>
      <c r="D26" s="36"/>
      <c r="F26">
        <f ca="1">IF(B26&lt;EDATE(TODAY(),-12), 0, קבלת_תמרים[[#This Row],[משקל '[ק"ג']]])</f>
        <v>0</v>
      </c>
    </row>
    <row r="27" spans="2:6" x14ac:dyDescent="0.3">
      <c r="B27" s="2"/>
      <c r="D27" s="36"/>
      <c r="F27">
        <f ca="1">IF(B27&lt;EDATE(TODAY(),-12), 0, קבלת_תמרים[[#This Row],[משקל '[ק"ג']]])</f>
        <v>0</v>
      </c>
    </row>
    <row r="28" spans="2:6" x14ac:dyDescent="0.3">
      <c r="B28" s="2"/>
      <c r="D28" s="36"/>
      <c r="F28">
        <f ca="1">IF(B28&lt;EDATE(TODAY(),-12), 0, קבלת_תמרים[[#This Row],[משקל '[ק"ג']]])</f>
        <v>0</v>
      </c>
    </row>
    <row r="29" spans="2:6" x14ac:dyDescent="0.3">
      <c r="B29" s="2"/>
      <c r="D29" s="36"/>
      <c r="F29">
        <f ca="1">IF(B29&lt;EDATE(TODAY(),-12), 0, קבלת_תמרים[[#This Row],[משקל '[ק"ג']]])</f>
        <v>0</v>
      </c>
    </row>
    <row r="30" spans="2:6" x14ac:dyDescent="0.3">
      <c r="B30" s="2"/>
      <c r="D30" s="36"/>
      <c r="F30">
        <f ca="1">IF(B30&lt;EDATE(TODAY(),-12), 0, קבלת_תמרים[[#This Row],[משקל '[ק"ג']]])</f>
        <v>0</v>
      </c>
    </row>
    <row r="31" spans="2:6" x14ac:dyDescent="0.3">
      <c r="B31" s="2"/>
      <c r="D31" s="36"/>
      <c r="F31">
        <f ca="1">IF(B31&lt;EDATE(TODAY(),-12), 0, קבלת_תמרים[[#This Row],[משקל '[ק"ג']]])</f>
        <v>0</v>
      </c>
    </row>
    <row r="32" spans="2:6" x14ac:dyDescent="0.3">
      <c r="B32" s="2"/>
      <c r="D32" s="36"/>
      <c r="F32">
        <f ca="1">IF(B32&lt;EDATE(TODAY(),-12), 0, קבלת_תמרים[[#This Row],[משקל '[ק"ג']]])</f>
        <v>0</v>
      </c>
    </row>
    <row r="33" spans="2:6" x14ac:dyDescent="0.3">
      <c r="B33" s="2"/>
      <c r="D33" s="36"/>
      <c r="F33">
        <f ca="1">IF(B33&lt;EDATE(TODAY(),-12), 0, קבלת_תמרים[[#This Row],[משקל '[ק"ג']]])</f>
        <v>0</v>
      </c>
    </row>
    <row r="34" spans="2:6" x14ac:dyDescent="0.3">
      <c r="B34" s="2"/>
      <c r="D34" s="36"/>
      <c r="F34">
        <f ca="1">IF(B34&lt;EDATE(TODAY(),-12), 0, קבלת_תמרים[[#This Row],[משקל '[ק"ג']]])</f>
        <v>0</v>
      </c>
    </row>
    <row r="35" spans="2:6" x14ac:dyDescent="0.3">
      <c r="B35" s="2"/>
      <c r="D35" s="36"/>
      <c r="F35">
        <f ca="1">IF(B35&lt;EDATE(TODAY(),-12), 0, קבלת_תמרים[[#This Row],[משקל '[ק"ג']]])</f>
        <v>0</v>
      </c>
    </row>
    <row r="36" spans="2:6" x14ac:dyDescent="0.3">
      <c r="B36" s="2"/>
      <c r="D36" s="36"/>
      <c r="F36">
        <f ca="1">IF(B36&lt;EDATE(TODAY(),-12), 0, קבלת_תמרים[[#This Row],[משקל '[ק"ג']]])</f>
        <v>0</v>
      </c>
    </row>
    <row r="37" spans="2:6" x14ac:dyDescent="0.3">
      <c r="B37" s="2"/>
      <c r="D37" s="36"/>
      <c r="F37">
        <f ca="1">IF(B37&lt;EDATE(TODAY(),-12), 0, קבלת_תמרים[[#This Row],[משקל '[ק"ג']]])</f>
        <v>0</v>
      </c>
    </row>
    <row r="38" spans="2:6" x14ac:dyDescent="0.3">
      <c r="B38" s="2"/>
      <c r="D38" s="36"/>
      <c r="F38">
        <f ca="1">IF(B38&lt;EDATE(TODAY(),-12), 0, קבלת_תמרים[[#This Row],[משקל '[ק"ג']]])</f>
        <v>0</v>
      </c>
    </row>
    <row r="39" spans="2:6" x14ac:dyDescent="0.3">
      <c r="B39" s="2"/>
      <c r="D39" s="36"/>
      <c r="F39">
        <f ca="1">IF(B39&lt;EDATE(TODAY(),-12), 0, קבלת_תמרים[[#This Row],[משקל '[ק"ג']]])</f>
        <v>0</v>
      </c>
    </row>
    <row r="40" spans="2:6" x14ac:dyDescent="0.3">
      <c r="B40" s="2"/>
      <c r="D40" s="36"/>
      <c r="F40">
        <f ca="1">IF(B40&lt;EDATE(TODAY(),-12), 0, קבלת_תמרים[[#This Row],[משקל '[ק"ג']]])</f>
        <v>0</v>
      </c>
    </row>
    <row r="41" spans="2:6" x14ac:dyDescent="0.3">
      <c r="B41" s="2"/>
      <c r="D41" s="36"/>
      <c r="F41">
        <f ca="1">IF(B41&lt;EDATE(TODAY(),-12), 0, קבלת_תמרים[[#This Row],[משקל '[ק"ג']]])</f>
        <v>0</v>
      </c>
    </row>
    <row r="42" spans="2:6" x14ac:dyDescent="0.3">
      <c r="B42" s="2"/>
      <c r="D42" s="36"/>
      <c r="F42">
        <f ca="1">IF(B42&lt;EDATE(TODAY(),-12), 0, קבלת_תמרים[[#This Row],[משקל '[ק"ג']]])</f>
        <v>0</v>
      </c>
    </row>
    <row r="43" spans="2:6" x14ac:dyDescent="0.3">
      <c r="B43" s="2"/>
      <c r="D43" s="36"/>
      <c r="F43">
        <f ca="1">IF(B43&lt;EDATE(TODAY(),-12), 0, קבלת_תמרים[[#This Row],[משקל '[ק"ג']]])</f>
        <v>0</v>
      </c>
    </row>
    <row r="44" spans="2:6" x14ac:dyDescent="0.3">
      <c r="B44" s="2"/>
      <c r="D44" s="36"/>
      <c r="F44">
        <f ca="1">IF(B44&lt;EDATE(TODAY(),-12), 0, קבלת_תמרים[[#This Row],[משקל '[ק"ג']]])</f>
        <v>0</v>
      </c>
    </row>
    <row r="45" spans="2:6" x14ac:dyDescent="0.3">
      <c r="B45" s="2"/>
      <c r="D45" s="36"/>
      <c r="F45">
        <f ca="1">IF(B45&lt;EDATE(TODAY(),-12), 0, קבלת_תמרים[[#This Row],[משקל '[ק"ג']]])</f>
        <v>0</v>
      </c>
    </row>
    <row r="46" spans="2:6" x14ac:dyDescent="0.3">
      <c r="B46" s="2"/>
      <c r="D46" s="36"/>
      <c r="F46">
        <f ca="1">IF(B46&lt;EDATE(TODAY(),-12), 0, קבלת_תמרים[[#This Row],[משקל '[ק"ג']]])</f>
        <v>0</v>
      </c>
    </row>
    <row r="47" spans="2:6" x14ac:dyDescent="0.3">
      <c r="B47" s="2"/>
      <c r="D47" s="36"/>
      <c r="F47">
        <f ca="1">IF(B47&lt;EDATE(TODAY(),-12), 0, קבלת_תמרים[[#This Row],[משקל '[ק"ג']]])</f>
        <v>0</v>
      </c>
    </row>
    <row r="48" spans="2:6" x14ac:dyDescent="0.3">
      <c r="B48" s="2"/>
      <c r="D48" s="36"/>
      <c r="F48">
        <f ca="1">IF(B48&lt;EDATE(TODAY(),-12), 0, קבלת_תמרים[[#This Row],[משקל '[ק"ג']]])</f>
        <v>0</v>
      </c>
    </row>
    <row r="49" spans="2:6" x14ac:dyDescent="0.3">
      <c r="B49" s="2"/>
      <c r="D49" s="36"/>
      <c r="F49">
        <f ca="1">IF(B49&lt;EDATE(TODAY(),-12), 0, קבלת_תמרים[[#This Row],[משקל '[ק"ג']]])</f>
        <v>0</v>
      </c>
    </row>
    <row r="50" spans="2:6" x14ac:dyDescent="0.3">
      <c r="B50" s="2"/>
      <c r="D50" s="36"/>
      <c r="F50">
        <f ca="1">IF(B50&lt;EDATE(TODAY(),-12), 0, קבלת_תמרים[[#This Row],[משקל '[ק"ג']]])</f>
        <v>0</v>
      </c>
    </row>
    <row r="51" spans="2:6" x14ac:dyDescent="0.3">
      <c r="B51" s="2"/>
      <c r="D51" s="36"/>
      <c r="F51">
        <f ca="1">IF(B51&lt;EDATE(TODAY(),-12), 0, קבלת_תמרים[[#This Row],[משקל '[ק"ג']]])</f>
        <v>0</v>
      </c>
    </row>
    <row r="52" spans="2:6" x14ac:dyDescent="0.3">
      <c r="B52" s="2"/>
      <c r="D52" s="36"/>
      <c r="F52">
        <f ca="1">IF(B52&lt;EDATE(TODAY(),-12), 0, קבלת_תמרים[[#This Row],[משקל '[ק"ג']]])</f>
        <v>0</v>
      </c>
    </row>
    <row r="53" spans="2:6" x14ac:dyDescent="0.3">
      <c r="B53" s="2"/>
      <c r="D53" s="36"/>
      <c r="F53">
        <f ca="1">IF(B53&lt;EDATE(TODAY(),-12), 0, קבלת_תמרים[[#This Row],[משקל '[ק"ג']]])</f>
        <v>0</v>
      </c>
    </row>
    <row r="54" spans="2:6" x14ac:dyDescent="0.3">
      <c r="B54" s="2"/>
      <c r="D54" s="36"/>
      <c r="F54">
        <f ca="1">IF(B54&lt;EDATE(TODAY(),-12), 0, קבלת_תמרים[[#This Row],[משקל '[ק"ג']]])</f>
        <v>0</v>
      </c>
    </row>
    <row r="55" spans="2:6" x14ac:dyDescent="0.3">
      <c r="B55" s="2"/>
      <c r="D55" s="36"/>
      <c r="F55">
        <f ca="1">IF(B55&lt;EDATE(TODAY(),-12), 0, קבלת_תמרים[[#This Row],[משקל '[ק"ג']]])</f>
        <v>0</v>
      </c>
    </row>
    <row r="56" spans="2:6" x14ac:dyDescent="0.3">
      <c r="B56" s="2"/>
      <c r="D56" s="36"/>
      <c r="F56">
        <f ca="1">IF(B56&lt;EDATE(TODAY(),-12), 0, קבלת_תמרים[[#This Row],[משקל '[ק"ג']]])</f>
        <v>0</v>
      </c>
    </row>
    <row r="57" spans="2:6" x14ac:dyDescent="0.3">
      <c r="B57" s="2"/>
      <c r="D57" s="36"/>
      <c r="F57">
        <f ca="1">IF(B57&lt;EDATE(TODAY(),-12), 0, קבלת_תמרים[[#This Row],[משקל '[ק"ג']]])</f>
        <v>0</v>
      </c>
    </row>
    <row r="58" spans="2:6" x14ac:dyDescent="0.3">
      <c r="B58" s="2"/>
      <c r="D58" s="36"/>
      <c r="F58">
        <f ca="1">IF(B58&lt;EDATE(TODAY(),-12), 0, קבלת_תמרים[[#This Row],[משקל '[ק"ג']]])</f>
        <v>0</v>
      </c>
    </row>
    <row r="59" spans="2:6" x14ac:dyDescent="0.3">
      <c r="B59" s="2"/>
      <c r="D59" s="36"/>
      <c r="F59">
        <f ca="1">IF(B59&lt;EDATE(TODAY(),-12), 0, קבלת_תמרים[[#This Row],[משקל '[ק"ג']]])</f>
        <v>0</v>
      </c>
    </row>
    <row r="60" spans="2:6" x14ac:dyDescent="0.3">
      <c r="B60" s="2"/>
      <c r="D60" s="36"/>
      <c r="F60">
        <f ca="1">IF(B60&lt;EDATE(TODAY(),-12), 0, קבלת_תמרים[[#This Row],[משקל '[ק"ג']]])</f>
        <v>0</v>
      </c>
    </row>
    <row r="61" spans="2:6" x14ac:dyDescent="0.3">
      <c r="B61" s="2"/>
      <c r="D61" s="36"/>
      <c r="F61">
        <f ca="1">IF(B61&lt;EDATE(TODAY(),-12), 0, קבלת_תמרים[[#This Row],[משקל '[ק"ג']]])</f>
        <v>0</v>
      </c>
    </row>
    <row r="62" spans="2:6" x14ac:dyDescent="0.3">
      <c r="B62" s="2"/>
      <c r="D62" s="36"/>
      <c r="F62">
        <f ca="1">IF(B62&lt;EDATE(TODAY(),-12), 0, קבלת_תמרים[[#This Row],[משקל '[ק"ג']]])</f>
        <v>0</v>
      </c>
    </row>
    <row r="63" spans="2:6" x14ac:dyDescent="0.3">
      <c r="B63" s="2"/>
      <c r="D63" s="36"/>
      <c r="F63">
        <f ca="1">IF(B63&lt;EDATE(TODAY(),-12), 0, קבלת_תמרים[[#This Row],[משקל '[ק"ג']]])</f>
        <v>0</v>
      </c>
    </row>
    <row r="64" spans="2:6" x14ac:dyDescent="0.3">
      <c r="B64" s="2"/>
      <c r="D64" s="36"/>
      <c r="F64">
        <f ca="1">IF(B64&lt;EDATE(TODAY(),-12), 0, קבלת_תמרים[[#This Row],[משקל '[ק"ג']]])</f>
        <v>0</v>
      </c>
    </row>
    <row r="65" spans="2:6" x14ac:dyDescent="0.3">
      <c r="B65" s="2"/>
      <c r="D65" s="36"/>
      <c r="F65">
        <f ca="1">IF(B65&lt;EDATE(TODAY(),-12), 0, קבלת_תמרים[[#This Row],[משקל '[ק"ג']]])</f>
        <v>0</v>
      </c>
    </row>
    <row r="66" spans="2:6" x14ac:dyDescent="0.3">
      <c r="B66" s="2"/>
      <c r="D66" s="36"/>
      <c r="F66">
        <f ca="1">IF(B66&lt;EDATE(TODAY(),-12), 0, קבלת_תמרים[[#This Row],[משקל '[ק"ג']]])</f>
        <v>0</v>
      </c>
    </row>
    <row r="67" spans="2:6" x14ac:dyDescent="0.3">
      <c r="B67" s="2"/>
      <c r="D67" s="36"/>
      <c r="F67">
        <f ca="1">IF(B67&lt;EDATE(TODAY(),-12), 0, קבלת_תמרים[[#This Row],[משקל '[ק"ג']]])</f>
        <v>0</v>
      </c>
    </row>
    <row r="68" spans="2:6" x14ac:dyDescent="0.3">
      <c r="B68" s="2"/>
      <c r="D68" s="36"/>
      <c r="F68">
        <f ca="1">IF(B68&lt;EDATE(TODAY(),-12), 0, קבלת_תמרים[[#This Row],[משקל '[ק"ג']]])</f>
        <v>0</v>
      </c>
    </row>
    <row r="69" spans="2:6" x14ac:dyDescent="0.3">
      <c r="B69" s="2"/>
      <c r="D69" s="36"/>
      <c r="F69">
        <f ca="1">IF(B69&lt;EDATE(TODAY(),-12), 0, קבלת_תמרים[[#This Row],[משקל '[ק"ג']]])</f>
        <v>0</v>
      </c>
    </row>
    <row r="70" spans="2:6" x14ac:dyDescent="0.3">
      <c r="B70" s="2"/>
      <c r="D70" s="36"/>
      <c r="F70">
        <f ca="1">IF(B70&lt;EDATE(TODAY(),-12), 0, קבלת_תמרים[[#This Row],[משקל '[ק"ג']]])</f>
        <v>0</v>
      </c>
    </row>
    <row r="71" spans="2:6" x14ac:dyDescent="0.3">
      <c r="B71" s="2"/>
      <c r="D71" s="36"/>
      <c r="F71">
        <f ca="1">IF(B71&lt;EDATE(TODAY(),-12), 0, קבלת_תמרים[[#This Row],[משקל '[ק"ג']]])</f>
        <v>0</v>
      </c>
    </row>
    <row r="72" spans="2:6" x14ac:dyDescent="0.3">
      <c r="B72" s="2"/>
      <c r="D72" s="36"/>
      <c r="F72">
        <f ca="1">IF(B72&lt;EDATE(TODAY(),-12), 0, קבלת_תמרים[[#This Row],[משקל '[ק"ג']]])</f>
        <v>0</v>
      </c>
    </row>
    <row r="73" spans="2:6" x14ac:dyDescent="0.3">
      <c r="B73" s="2"/>
      <c r="D73" s="36"/>
      <c r="F73">
        <f ca="1">IF(B73&lt;EDATE(TODAY(),-12), 0, קבלת_תמרים[[#This Row],[משקל '[ק"ג']]])</f>
        <v>0</v>
      </c>
    </row>
    <row r="74" spans="2:6" x14ac:dyDescent="0.3">
      <c r="B74" s="2"/>
      <c r="D74" s="36"/>
      <c r="F74">
        <f ca="1">IF(B74&lt;EDATE(TODAY(),-12), 0, קבלת_תמרים[[#This Row],[משקל '[ק"ג']]])</f>
        <v>0</v>
      </c>
    </row>
    <row r="75" spans="2:6" x14ac:dyDescent="0.3">
      <c r="B75" s="2"/>
      <c r="D75" s="36"/>
      <c r="F75">
        <f ca="1">IF(B75&lt;EDATE(TODAY(),-12), 0, קבלת_תמרים[[#This Row],[משקל '[ק"ג']]])</f>
        <v>0</v>
      </c>
    </row>
    <row r="76" spans="2:6" x14ac:dyDescent="0.3">
      <c r="B76" s="2"/>
      <c r="D76" s="36"/>
      <c r="F76">
        <f ca="1">IF(B76&lt;EDATE(TODAY(),-12), 0, קבלת_תמרים[[#This Row],[משקל '[ק"ג']]])</f>
        <v>0</v>
      </c>
    </row>
    <row r="77" spans="2:6" x14ac:dyDescent="0.3">
      <c r="B77" s="2"/>
      <c r="D77" s="36"/>
      <c r="F77">
        <f ca="1">IF(B77&lt;EDATE(TODAY(),-12), 0, קבלת_תמרים[[#This Row],[משקל '[ק"ג']]])</f>
        <v>0</v>
      </c>
    </row>
    <row r="78" spans="2:6" x14ac:dyDescent="0.3">
      <c r="B78" s="2"/>
      <c r="D78" s="36"/>
      <c r="F78">
        <f ca="1">IF(B78&lt;EDATE(TODAY(),-12), 0, קבלת_תמרים[[#This Row],[משקל '[ק"ג']]])</f>
        <v>0</v>
      </c>
    </row>
    <row r="79" spans="2:6" x14ac:dyDescent="0.3">
      <c r="B79" s="2"/>
      <c r="D79" s="36"/>
      <c r="F79">
        <f ca="1">IF(B79&lt;EDATE(TODAY(),-12), 0, קבלת_תמרים[[#This Row],[משקל '[ק"ג']]])</f>
        <v>0</v>
      </c>
    </row>
    <row r="80" spans="2:6" x14ac:dyDescent="0.3">
      <c r="B80" s="2"/>
      <c r="D80" s="36"/>
      <c r="F80">
        <f ca="1">IF(B80&lt;EDATE(TODAY(),-12), 0, קבלת_תמרים[[#This Row],[משקל '[ק"ג']]])</f>
        <v>0</v>
      </c>
    </row>
    <row r="81" spans="2:6" x14ac:dyDescent="0.3">
      <c r="B81" s="2"/>
      <c r="D81" s="36"/>
      <c r="F81">
        <f ca="1">IF(B81&lt;EDATE(TODAY(),-12), 0, קבלת_תמרים[[#This Row],[משקל '[ק"ג']]])</f>
        <v>0</v>
      </c>
    </row>
    <row r="82" spans="2:6" x14ac:dyDescent="0.3">
      <c r="B82" s="2"/>
      <c r="D82" s="36"/>
      <c r="F82">
        <f ca="1">IF(B82&lt;EDATE(TODAY(),-12), 0, קבלת_תמרים[[#This Row],[משקל '[ק"ג']]])</f>
        <v>0</v>
      </c>
    </row>
    <row r="83" spans="2:6" x14ac:dyDescent="0.3">
      <c r="B83" s="2"/>
      <c r="D83" s="36"/>
      <c r="F83">
        <f ca="1">IF(B83&lt;EDATE(TODAY(),-12), 0, קבלת_תמרים[[#This Row],[משקל '[ק"ג']]])</f>
        <v>0</v>
      </c>
    </row>
    <row r="84" spans="2:6" x14ac:dyDescent="0.3">
      <c r="B84" s="2"/>
      <c r="D84" s="36"/>
      <c r="F84">
        <f ca="1">IF(B84&lt;EDATE(TODAY(),-12), 0, קבלת_תמרים[[#This Row],[משקל '[ק"ג']]])</f>
        <v>0</v>
      </c>
    </row>
    <row r="85" spans="2:6" x14ac:dyDescent="0.3">
      <c r="B85" s="2"/>
      <c r="D85" s="36"/>
      <c r="F85">
        <f ca="1">IF(B85&lt;EDATE(TODAY(),-12), 0, קבלת_תמרים[[#This Row],[משקל '[ק"ג']]])</f>
        <v>0</v>
      </c>
    </row>
    <row r="86" spans="2:6" x14ac:dyDescent="0.3">
      <c r="B86" s="2"/>
      <c r="D86" s="36"/>
      <c r="F86">
        <f ca="1">IF(B86&lt;EDATE(TODAY(),-12), 0, קבלת_תמרים[[#This Row],[משקל '[ק"ג']]])</f>
        <v>0</v>
      </c>
    </row>
    <row r="87" spans="2:6" x14ac:dyDescent="0.3">
      <c r="B87" s="2"/>
      <c r="D87" s="36"/>
      <c r="F87">
        <f ca="1">IF(B87&lt;EDATE(TODAY(),-12), 0, קבלת_תמרים[[#This Row],[משקל '[ק"ג']]])</f>
        <v>0</v>
      </c>
    </row>
    <row r="88" spans="2:6" x14ac:dyDescent="0.3">
      <c r="B88" s="2"/>
      <c r="D88" s="36"/>
      <c r="F88">
        <f ca="1">IF(B88&lt;EDATE(TODAY(),-12), 0, קבלת_תמרים[[#This Row],[משקל '[ק"ג']]])</f>
        <v>0</v>
      </c>
    </row>
    <row r="89" spans="2:6" x14ac:dyDescent="0.3">
      <c r="B89" s="2"/>
      <c r="D89" s="36"/>
      <c r="F89">
        <f ca="1">IF(B89&lt;EDATE(TODAY(),-12), 0, קבלת_תמרים[[#This Row],[משקל '[ק"ג']]])</f>
        <v>0</v>
      </c>
    </row>
    <row r="90" spans="2:6" x14ac:dyDescent="0.3">
      <c r="B90" s="2"/>
      <c r="D90" s="36"/>
      <c r="F90">
        <f ca="1">IF(B90&lt;EDATE(TODAY(),-12), 0, קבלת_תמרים[[#This Row],[משקל '[ק"ג']]])</f>
        <v>0</v>
      </c>
    </row>
    <row r="91" spans="2:6" x14ac:dyDescent="0.3">
      <c r="B91" s="2"/>
      <c r="D91" s="36"/>
      <c r="F91">
        <f ca="1">IF(B91&lt;EDATE(TODAY(),-12), 0, קבלת_תמרים[[#This Row],[משקל '[ק"ג']]])</f>
        <v>0</v>
      </c>
    </row>
    <row r="92" spans="2:6" x14ac:dyDescent="0.3">
      <c r="B92" s="2"/>
      <c r="D92" s="36"/>
      <c r="F92">
        <f ca="1">IF(B92&lt;EDATE(TODAY(),-12), 0, קבלת_תמרים[[#This Row],[משקל '[ק"ג']]])</f>
        <v>0</v>
      </c>
    </row>
    <row r="93" spans="2:6" x14ac:dyDescent="0.3">
      <c r="B93" s="2"/>
      <c r="D93" s="36"/>
      <c r="F93">
        <f ca="1">IF(B93&lt;EDATE(TODAY(),-12), 0, קבלת_תמרים[[#This Row],[משקל '[ק"ג']]])</f>
        <v>0</v>
      </c>
    </row>
    <row r="94" spans="2:6" x14ac:dyDescent="0.3">
      <c r="B94" s="2"/>
      <c r="D94" s="36"/>
      <c r="F94">
        <f ca="1">IF(B94&lt;EDATE(TODAY(),-12), 0, קבלת_תמרים[[#This Row],[משקל '[ק"ג']]])</f>
        <v>0</v>
      </c>
    </row>
    <row r="95" spans="2:6" x14ac:dyDescent="0.3">
      <c r="B95" s="2"/>
      <c r="F95">
        <f ca="1">IF(B95&lt;EDATE(TODAY(),-12), 0, קבלת_תמרים[[#This Row],[משקל '[ק"ג']]])</f>
        <v>0</v>
      </c>
    </row>
    <row r="96" spans="2:6" x14ac:dyDescent="0.3">
      <c r="B96" s="2"/>
      <c r="F96">
        <f ca="1">IF(B96&lt;EDATE(TODAY(),-12), 0, קבלת_תמרים[[#This Row],[משקל '[ק"ג']]])</f>
        <v>0</v>
      </c>
    </row>
    <row r="97" spans="2:6" x14ac:dyDescent="0.3">
      <c r="B97" s="2"/>
      <c r="F97">
        <f ca="1">IF(B97&lt;EDATE(TODAY(),-12), 0, קבלת_תמרים[[#This Row],[משקל '[ק"ג']]])</f>
        <v>0</v>
      </c>
    </row>
    <row r="98" spans="2:6" x14ac:dyDescent="0.3">
      <c r="F98">
        <f ca="1">SUM(קבלת_תמרים[כמות בתוקף])</f>
        <v>14175</v>
      </c>
    </row>
  </sheetData>
  <conditionalFormatting sqref="D2:D97">
    <cfRule type="cellIs" dxfId="6" priority="1" operator="equal">
      <formula>"לא"</formula>
    </cfRule>
    <cfRule type="cellIs" dxfId="5" priority="2" operator="equal">
      <formula>"כן"</formula>
    </cfRule>
    <cfRule type="cellIs" dxfId="4" priority="3" operator="equal">
      <formula>"כן "</formula>
    </cfRule>
  </conditionalFormatting>
  <dataValidations count="1">
    <dataValidation type="list" allowBlank="1" showInputMessage="1" showErrorMessage="1" sqref="D2:D97" xr:uid="{A6F08DB4-3AA7-4232-AB45-AF0F7813E30D}">
      <formula1>"כן, לא"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"/>
  <sheetViews>
    <sheetView rightToLeft="1" topLeftCell="A12" workbookViewId="0">
      <selection activeCell="B20" sqref="B20"/>
    </sheetView>
  </sheetViews>
  <sheetFormatPr defaultRowHeight="14" x14ac:dyDescent="0.3"/>
  <cols>
    <col min="1" max="2" width="9.83203125" customWidth="1"/>
    <col min="3" max="4" width="13.25" customWidth="1"/>
    <col min="5" max="5" width="15.08203125" customWidth="1"/>
    <col min="6" max="6" width="14.08203125" bestFit="1" customWidth="1"/>
    <col min="7" max="7" width="7.33203125" bestFit="1" customWidth="1"/>
    <col min="8" max="8" width="12.5" bestFit="1" customWidth="1"/>
    <col min="9" max="9" width="11.9140625" customWidth="1"/>
    <col min="12" max="12" width="20" customWidth="1"/>
  </cols>
  <sheetData>
    <row r="1" spans="1:12" x14ac:dyDescent="0.3">
      <c r="A1" s="29" t="s">
        <v>5</v>
      </c>
      <c r="B1" s="28" t="s">
        <v>101</v>
      </c>
      <c r="C1" s="28" t="s">
        <v>102</v>
      </c>
      <c r="D1" s="48" t="s">
        <v>16</v>
      </c>
      <c r="E1" s="30" t="s">
        <v>6</v>
      </c>
      <c r="F1" s="30" t="s">
        <v>15</v>
      </c>
      <c r="G1" s="30" t="s">
        <v>7</v>
      </c>
      <c r="H1" s="31" t="s">
        <v>161</v>
      </c>
      <c r="I1" s="31" t="s">
        <v>8</v>
      </c>
    </row>
    <row r="2" spans="1:12" x14ac:dyDescent="0.3">
      <c r="A2" s="46">
        <v>45617</v>
      </c>
      <c r="B2" s="30">
        <v>1000</v>
      </c>
      <c r="C2" s="30">
        <f>280/1000*תסיסה[[#This Row],[גודל מיכל]]</f>
        <v>280</v>
      </c>
      <c r="D2" s="30">
        <v>0</v>
      </c>
      <c r="E2" s="30"/>
      <c r="F2" s="30"/>
      <c r="G2" s="30"/>
      <c r="H2" s="31"/>
      <c r="I2" s="31"/>
      <c r="K2" s="47">
        <f>SUM(תסיסה[תמרים '[ק"ג']])</f>
        <v>12824</v>
      </c>
      <c r="L2" t="s">
        <v>152</v>
      </c>
    </row>
    <row r="3" spans="1:12" x14ac:dyDescent="0.3">
      <c r="A3" s="46">
        <v>45623</v>
      </c>
      <c r="B3" s="30">
        <v>1000</v>
      </c>
      <c r="C3" s="30">
        <f>280/1000*תסיסה[[#This Row],[גודל מיכל]]</f>
        <v>280</v>
      </c>
      <c r="D3" s="30">
        <v>0</v>
      </c>
      <c r="E3" s="30"/>
      <c r="F3" s="30"/>
      <c r="G3" s="30"/>
      <c r="H3" s="31"/>
      <c r="I3" s="31"/>
      <c r="K3" s="47"/>
    </row>
    <row r="4" spans="1:12" x14ac:dyDescent="0.3">
      <c r="A4" s="46">
        <v>45629</v>
      </c>
      <c r="B4" s="30">
        <v>500</v>
      </c>
      <c r="C4" s="30">
        <f>280/1000*תסיסה[[#This Row],[גודל מיכל]]</f>
        <v>140</v>
      </c>
      <c r="D4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0</v>
      </c>
      <c r="E4" s="30"/>
      <c r="F4" s="30"/>
      <c r="G4" s="30"/>
      <c r="H4" s="31"/>
      <c r="I4" s="31"/>
      <c r="K4">
        <f>4*1000+2*500+2*200</f>
        <v>5400</v>
      </c>
      <c r="L4" t="s">
        <v>107</v>
      </c>
    </row>
    <row r="5" spans="1:12" x14ac:dyDescent="0.3">
      <c r="A5" s="46">
        <v>45631</v>
      </c>
      <c r="B5" s="30">
        <v>500</v>
      </c>
      <c r="C5" s="30">
        <f>280/1000*תסיסה[[#This Row],[גודל מיכל]]</f>
        <v>140</v>
      </c>
      <c r="D5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0</v>
      </c>
      <c r="E5" s="30"/>
      <c r="F5" s="30"/>
      <c r="G5" s="30"/>
      <c r="H5" s="31"/>
      <c r="I5" s="31"/>
    </row>
    <row r="6" spans="1:12" x14ac:dyDescent="0.3">
      <c r="A6" s="46">
        <v>45636</v>
      </c>
      <c r="B6" s="30">
        <v>1000</v>
      </c>
      <c r="C6" s="30">
        <f>280/1000*תסיסה[[#This Row],[גודל מיכל]]</f>
        <v>280</v>
      </c>
      <c r="D6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0</v>
      </c>
      <c r="E6" s="30"/>
      <c r="F6" s="30"/>
      <c r="G6" s="30"/>
      <c r="H6" s="31"/>
      <c r="I6" s="31"/>
    </row>
    <row r="7" spans="1:12" x14ac:dyDescent="0.3">
      <c r="A7" s="46">
        <v>45642</v>
      </c>
      <c r="B7" s="30">
        <v>1000</v>
      </c>
      <c r="C7" s="30">
        <f>280/1000*תסיסה[[#This Row],[גודל מיכל]]</f>
        <v>280</v>
      </c>
      <c r="D7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0</v>
      </c>
      <c r="E7" s="30"/>
      <c r="F7" s="30"/>
      <c r="G7" s="30"/>
      <c r="H7" s="31"/>
      <c r="I7" s="31"/>
    </row>
    <row r="8" spans="1:12" x14ac:dyDescent="0.3">
      <c r="A8" s="46">
        <v>45646</v>
      </c>
      <c r="B8" s="30">
        <v>900</v>
      </c>
      <c r="C8" s="30">
        <f>280/1000*תסיסה[[#This Row],[גודל מיכל]]</f>
        <v>252.00000000000003</v>
      </c>
      <c r="D8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0</v>
      </c>
      <c r="E8" s="30"/>
      <c r="F8" s="30"/>
      <c r="G8" s="30"/>
      <c r="H8" s="31"/>
      <c r="I8" s="31"/>
    </row>
    <row r="9" spans="1:12" x14ac:dyDescent="0.3">
      <c r="A9" s="46">
        <v>45651</v>
      </c>
      <c r="B9" s="30">
        <v>400</v>
      </c>
      <c r="C9" s="30">
        <f>280/1000*תסיסה[[#This Row],[גודל מיכל]]</f>
        <v>112.00000000000001</v>
      </c>
      <c r="D9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0</v>
      </c>
      <c r="E9" s="30"/>
      <c r="F9" s="30"/>
      <c r="G9" s="30"/>
      <c r="H9" s="31"/>
      <c r="I9" s="31"/>
    </row>
    <row r="10" spans="1:12" x14ac:dyDescent="0.3">
      <c r="A10" s="46">
        <v>45657</v>
      </c>
      <c r="B10" s="30">
        <v>1000</v>
      </c>
      <c r="C10" s="30">
        <f>280/1000*תסיסה[[#This Row],[גודל מיכל]]</f>
        <v>280</v>
      </c>
      <c r="D10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0</v>
      </c>
      <c r="E10" s="30"/>
      <c r="F10" s="30"/>
      <c r="G10" s="30"/>
      <c r="H10" s="31"/>
      <c r="I10" s="31"/>
    </row>
    <row r="11" spans="1:12" x14ac:dyDescent="0.3">
      <c r="A11" s="46">
        <v>45662</v>
      </c>
      <c r="B11" s="30">
        <v>500</v>
      </c>
      <c r="C11" s="30">
        <f>280/1000*תסיסה[[#This Row],[גודל מיכל]]</f>
        <v>140</v>
      </c>
      <c r="D11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0</v>
      </c>
      <c r="E11" s="30"/>
      <c r="F11" s="30"/>
      <c r="G11" s="30"/>
      <c r="H11" s="31"/>
      <c r="I11" s="31"/>
    </row>
    <row r="12" spans="1:12" x14ac:dyDescent="0.3">
      <c r="A12" s="46">
        <v>45669</v>
      </c>
      <c r="B12" s="30">
        <v>1000</v>
      </c>
      <c r="C12" s="30">
        <f>280/1000*תסיסה[[#This Row],[גודל מיכל]]</f>
        <v>280</v>
      </c>
      <c r="D12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0</v>
      </c>
      <c r="E12" s="30"/>
      <c r="F12" s="30"/>
      <c r="G12" s="30"/>
      <c r="H12" s="31"/>
      <c r="I12" s="31"/>
    </row>
    <row r="13" spans="1:12" x14ac:dyDescent="0.3">
      <c r="A13" s="46">
        <v>45676</v>
      </c>
      <c r="B13" s="30">
        <v>1000</v>
      </c>
      <c r="C13" s="30">
        <f>280/1000*תסיסה[[#This Row],[גודל מיכל]]</f>
        <v>280</v>
      </c>
      <c r="D13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100</v>
      </c>
      <c r="E13" s="30"/>
      <c r="F13" s="30"/>
      <c r="G13" s="30"/>
      <c r="H13" s="31"/>
      <c r="I13" s="31"/>
    </row>
    <row r="14" spans="1:12" x14ac:dyDescent="0.3">
      <c r="A14" s="46">
        <v>45684</v>
      </c>
      <c r="B14" s="30">
        <v>1000</v>
      </c>
      <c r="C14" s="30">
        <f>280/1000*תסיסה[[#This Row],[גודל מיכל]]</f>
        <v>280</v>
      </c>
      <c r="D14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0</v>
      </c>
      <c r="E14" s="30"/>
      <c r="F14" s="30"/>
      <c r="G14" s="30"/>
      <c r="H14" s="31"/>
      <c r="I14" s="31"/>
    </row>
    <row r="15" spans="1:12" x14ac:dyDescent="0.3">
      <c r="A15" s="46">
        <v>45692</v>
      </c>
      <c r="B15" s="30">
        <v>1000</v>
      </c>
      <c r="C15" s="30">
        <f>280/1000*תסיסה[[#This Row],[גודל מיכל]]</f>
        <v>280</v>
      </c>
      <c r="D15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100</v>
      </c>
      <c r="E15" s="30"/>
      <c r="F15" s="30"/>
      <c r="G15" s="30"/>
      <c r="H15" s="31"/>
      <c r="I15" s="31"/>
    </row>
    <row r="16" spans="1:12" x14ac:dyDescent="0.3">
      <c r="A16" s="46">
        <v>45695</v>
      </c>
      <c r="B16" s="30">
        <v>1000</v>
      </c>
      <c r="C16" s="30">
        <f>280/1000*תסיסה[[#This Row],[גודל מיכל]]</f>
        <v>280</v>
      </c>
      <c r="D16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100</v>
      </c>
      <c r="E16" s="30"/>
      <c r="F16" s="30"/>
      <c r="G16" s="30"/>
      <c r="H16" s="31"/>
      <c r="I16" s="31"/>
    </row>
    <row r="17" spans="1:9" x14ac:dyDescent="0.3">
      <c r="A17" s="46">
        <v>45702</v>
      </c>
      <c r="B17" s="30">
        <v>1000</v>
      </c>
      <c r="C17" s="30">
        <f>280/1000*תסיסה[[#This Row],[גודל מיכל]]</f>
        <v>280</v>
      </c>
      <c r="D17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100</v>
      </c>
      <c r="E17" s="30"/>
      <c r="F17" s="30"/>
      <c r="G17" s="30"/>
      <c r="H17" s="31"/>
      <c r="I17" s="31"/>
    </row>
    <row r="18" spans="1:9" x14ac:dyDescent="0.3">
      <c r="A18" s="46">
        <v>45711</v>
      </c>
      <c r="B18" s="30">
        <v>1000</v>
      </c>
      <c r="C18" s="30">
        <f>280/1000*תסיסה[[#This Row],[גודל מיכל]]</f>
        <v>280</v>
      </c>
      <c r="D18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100</v>
      </c>
      <c r="E18" s="30"/>
      <c r="F18" s="30"/>
      <c r="G18" s="30"/>
      <c r="H18" s="31"/>
      <c r="I18" s="31"/>
    </row>
    <row r="19" spans="1:9" x14ac:dyDescent="0.3">
      <c r="A19" s="46">
        <v>45719</v>
      </c>
      <c r="B19" s="30">
        <v>1000</v>
      </c>
      <c r="C19" s="30">
        <f>280/1000*תסיסה[[#This Row],[גודל מיכל]]</f>
        <v>280</v>
      </c>
      <c r="D19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100</v>
      </c>
      <c r="E19" s="30"/>
      <c r="F19" s="30"/>
      <c r="G19" s="30"/>
      <c r="H19" s="31"/>
      <c r="I19" s="31"/>
    </row>
    <row r="20" spans="1:9" x14ac:dyDescent="0.3">
      <c r="A20" s="46">
        <v>45721</v>
      </c>
      <c r="B20" s="30">
        <v>1000</v>
      </c>
      <c r="C20" s="30">
        <f>280/1000*תסיסה[[#This Row],[גודל מיכל]]</f>
        <v>280</v>
      </c>
      <c r="D20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100</v>
      </c>
      <c r="E20" s="30"/>
      <c r="F20" s="30"/>
      <c r="G20" s="30"/>
      <c r="H20" s="31"/>
      <c r="I20" s="31"/>
    </row>
    <row r="21" spans="1:9" x14ac:dyDescent="0.3">
      <c r="A21" s="46">
        <v>45726</v>
      </c>
      <c r="B21" s="30">
        <v>1000</v>
      </c>
      <c r="C21" s="30">
        <f>280/1000*תסיסה[[#This Row],[גודל מיכל]]</f>
        <v>280</v>
      </c>
      <c r="D21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100</v>
      </c>
      <c r="E21" s="30"/>
      <c r="F21" s="30"/>
      <c r="G21" s="30"/>
      <c r="H21" s="31"/>
      <c r="I21" s="31"/>
    </row>
    <row r="22" spans="1:9" x14ac:dyDescent="0.3">
      <c r="A22" s="82">
        <v>45732</v>
      </c>
      <c r="B22" s="30">
        <v>1000</v>
      </c>
      <c r="C22" s="30">
        <f>280/1000*תסיסה[[#This Row],[גודל מיכל]]</f>
        <v>280</v>
      </c>
      <c r="D22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100</v>
      </c>
      <c r="E22" s="30"/>
      <c r="F22" s="30"/>
      <c r="G22" s="30"/>
      <c r="H22" s="31"/>
      <c r="I22" s="31"/>
    </row>
    <row r="23" spans="1:9" x14ac:dyDescent="0.3">
      <c r="A23" s="46">
        <v>45739</v>
      </c>
      <c r="B23" s="30">
        <v>1000</v>
      </c>
      <c r="C23" s="30">
        <f>280/1000*תסיסה[[#This Row],[גודל מיכל]]</f>
        <v>280</v>
      </c>
      <c r="D23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100</v>
      </c>
      <c r="E23" s="30"/>
      <c r="F23" s="30"/>
      <c r="G23" s="30"/>
      <c r="H23" s="31"/>
      <c r="I23" s="31"/>
    </row>
    <row r="24" spans="1:9" x14ac:dyDescent="0.3">
      <c r="A24" s="46">
        <v>45748</v>
      </c>
      <c r="B24" s="30">
        <v>1000</v>
      </c>
      <c r="C24" s="30">
        <f>280/1000*תסיסה[[#This Row],[גודל מיכל]]</f>
        <v>280</v>
      </c>
      <c r="D24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250</v>
      </c>
      <c r="E24" s="30"/>
      <c r="F24" s="30"/>
      <c r="G24" s="30"/>
      <c r="H24" s="31"/>
      <c r="I24" s="31"/>
    </row>
    <row r="25" spans="1:9" x14ac:dyDescent="0.3">
      <c r="A25" s="82">
        <v>45753</v>
      </c>
      <c r="B25" s="30">
        <v>1000</v>
      </c>
      <c r="C25" s="30">
        <f>280/1000*תסיסה[[#This Row],[גודל מיכל]]</f>
        <v>280</v>
      </c>
      <c r="D25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250</v>
      </c>
      <c r="E25" s="30"/>
      <c r="F25" s="30"/>
      <c r="G25" s="30"/>
      <c r="H25" s="31"/>
      <c r="I25" s="31"/>
    </row>
    <row r="26" spans="1:9" x14ac:dyDescent="0.3">
      <c r="A26" s="46">
        <v>45764</v>
      </c>
      <c r="B26" s="30">
        <v>1000</v>
      </c>
      <c r="C26" s="30">
        <f>280/1000*תסיסה[[#This Row],[גודל מיכל]]</f>
        <v>280</v>
      </c>
      <c r="D26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250</v>
      </c>
      <c r="E26" s="30"/>
      <c r="F26" s="30"/>
      <c r="G26" s="30"/>
      <c r="H26" s="31"/>
      <c r="I26" s="31"/>
    </row>
    <row r="27" spans="1:9" x14ac:dyDescent="0.3">
      <c r="A27" s="46">
        <v>45771</v>
      </c>
      <c r="B27" s="30">
        <v>1000</v>
      </c>
      <c r="C27" s="30">
        <f>280/1000*תסיסה[[#This Row],[גודל מיכל]]</f>
        <v>280</v>
      </c>
      <c r="D27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500</v>
      </c>
      <c r="E27" s="30"/>
      <c r="F27" s="30"/>
      <c r="G27" s="30"/>
      <c r="H27" s="31"/>
      <c r="I27" s="31"/>
    </row>
    <row r="28" spans="1:9" x14ac:dyDescent="0.3">
      <c r="A28" s="46">
        <v>45776</v>
      </c>
      <c r="B28" s="30">
        <v>1000</v>
      </c>
      <c r="C28" s="30">
        <f>280/1000*תסיסה[[#This Row],[גודל מיכל]]</f>
        <v>280</v>
      </c>
      <c r="D28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350</v>
      </c>
      <c r="E28" s="30"/>
      <c r="F28" s="30"/>
      <c r="G28" s="30"/>
      <c r="H28" s="31"/>
      <c r="I28" s="31"/>
    </row>
    <row r="29" spans="1:9" x14ac:dyDescent="0.3">
      <c r="A29" s="82">
        <v>45783</v>
      </c>
      <c r="B29" s="30">
        <v>1000</v>
      </c>
      <c r="C29" s="30">
        <f>280/1000*תסיסה[[#This Row],[גודל מיכל]]</f>
        <v>280</v>
      </c>
      <c r="D29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0</v>
      </c>
      <c r="E29" s="30"/>
      <c r="F29" s="30"/>
      <c r="G29" s="30"/>
      <c r="H29" s="95"/>
      <c r="I29" s="95"/>
    </row>
    <row r="30" spans="1:9" x14ac:dyDescent="0.3">
      <c r="A30" s="82">
        <v>45790</v>
      </c>
      <c r="B30" s="30">
        <v>1000</v>
      </c>
      <c r="C30" s="30">
        <f>280/1000*תסיסה[[#This Row],[גודל מיכל]]</f>
        <v>280</v>
      </c>
      <c r="D30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-150</v>
      </c>
      <c r="E30" s="30"/>
      <c r="F30" s="30"/>
      <c r="G30" s="30"/>
      <c r="H30" s="95"/>
      <c r="I30" s="95"/>
    </row>
    <row r="31" spans="1:9" x14ac:dyDescent="0.3">
      <c r="A31" s="94">
        <v>45802</v>
      </c>
      <c r="B31" s="30">
        <v>1000</v>
      </c>
      <c r="C31" s="30">
        <f>280/1000*תסיסה[[#This Row],[גודל מיכל]]</f>
        <v>280</v>
      </c>
      <c r="D31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-150</v>
      </c>
      <c r="E31" s="30"/>
      <c r="F31" s="30"/>
      <c r="G31" s="30"/>
      <c r="H31" s="95"/>
      <c r="I31" s="95"/>
    </row>
    <row r="32" spans="1:9" x14ac:dyDescent="0.3">
      <c r="A32" s="82">
        <v>45806</v>
      </c>
      <c r="B32" s="30">
        <v>1000</v>
      </c>
      <c r="C32" s="30">
        <f>280/1000*תסיסה[[#This Row],[גודל מיכל]]</f>
        <v>280</v>
      </c>
      <c r="D32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200</v>
      </c>
      <c r="E32" s="30"/>
      <c r="F32" s="30"/>
      <c r="G32" s="30"/>
      <c r="H32" s="95"/>
      <c r="I32" s="95"/>
    </row>
    <row r="33" spans="1:9" x14ac:dyDescent="0.3">
      <c r="A33" s="82">
        <v>45813</v>
      </c>
      <c r="B33" s="30">
        <v>1000</v>
      </c>
      <c r="C33" s="30">
        <f>280/1000*תסיסה[[#This Row],[גודל מיכל]]</f>
        <v>280</v>
      </c>
      <c r="D33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0</v>
      </c>
      <c r="E33" s="30"/>
      <c r="F33" s="30"/>
      <c r="G33" s="30"/>
      <c r="H33" s="31"/>
      <c r="I33" s="31"/>
    </row>
    <row r="34" spans="1:9" x14ac:dyDescent="0.3">
      <c r="A34" s="82">
        <v>45814</v>
      </c>
      <c r="B34" s="30">
        <v>1000</v>
      </c>
      <c r="C34" s="30">
        <f>280/1000*תסיסה[[#This Row],[גודל מיכל]]</f>
        <v>280</v>
      </c>
      <c r="D34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-200</v>
      </c>
      <c r="E34" s="30"/>
      <c r="F34" s="30"/>
      <c r="G34" s="30"/>
      <c r="H34" s="31"/>
      <c r="I34" s="31"/>
    </row>
    <row r="35" spans="1:9" x14ac:dyDescent="0.3">
      <c r="A35" s="82">
        <v>45816</v>
      </c>
      <c r="B35" s="30">
        <v>1000</v>
      </c>
      <c r="C35" s="30">
        <f>280/1000*תסיסה[[#This Row],[גודל מיכל]]</f>
        <v>280</v>
      </c>
      <c r="D35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350</v>
      </c>
      <c r="E35" s="30"/>
      <c r="F35" s="30"/>
      <c r="G35" s="30"/>
      <c r="H35" s="31"/>
      <c r="I35" s="31"/>
    </row>
    <row r="36" spans="1:9" x14ac:dyDescent="0.3">
      <c r="A36" s="46">
        <v>45834</v>
      </c>
      <c r="B36" s="30">
        <v>1000</v>
      </c>
      <c r="C36" s="30">
        <f>280/1000*תסיסה[[#This Row],[גודל מיכל]]</f>
        <v>280</v>
      </c>
      <c r="D36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50</v>
      </c>
      <c r="E36" s="30"/>
      <c r="F36" s="30"/>
      <c r="G36" s="30"/>
      <c r="H36" s="31"/>
      <c r="I36" s="31"/>
    </row>
    <row r="37" spans="1:9" x14ac:dyDescent="0.3">
      <c r="A37" s="46" t="s">
        <v>434</v>
      </c>
      <c r="B37" s="30">
        <v>1000</v>
      </c>
      <c r="C37" s="30">
        <f>280/1000*תסיסה[[#This Row],[גודל מיכל]]</f>
        <v>280</v>
      </c>
      <c r="D37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100</v>
      </c>
      <c r="E37" s="30"/>
      <c r="F37" s="30"/>
      <c r="G37" s="30"/>
      <c r="H37" s="31"/>
      <c r="I37" s="31"/>
    </row>
    <row r="38" spans="1:9" x14ac:dyDescent="0.3">
      <c r="A38" s="82">
        <v>45840</v>
      </c>
      <c r="B38" s="30">
        <v>1000</v>
      </c>
      <c r="C38" s="30">
        <f>280/1000*תסיסה[[#This Row],[גודל מיכל]]</f>
        <v>280</v>
      </c>
      <c r="D38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-80</v>
      </c>
      <c r="E38" s="30"/>
      <c r="F38" s="30"/>
      <c r="G38" s="30"/>
      <c r="H38" s="31"/>
      <c r="I38" s="31"/>
    </row>
    <row r="39" spans="1:9" x14ac:dyDescent="0.3">
      <c r="A39" s="82">
        <v>45844</v>
      </c>
      <c r="B39" s="30">
        <v>1000</v>
      </c>
      <c r="C39" s="30">
        <f>280/1000*תסיסה[[#This Row],[גודל מיכל]]</f>
        <v>280</v>
      </c>
      <c r="D39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100</v>
      </c>
      <c r="E39" s="30"/>
      <c r="F39" s="30"/>
      <c r="G39" s="30"/>
      <c r="H39" s="31"/>
      <c r="I39" s="31"/>
    </row>
    <row r="40" spans="1:9" x14ac:dyDescent="0.3">
      <c r="A40" s="82">
        <v>45863</v>
      </c>
      <c r="B40" s="30">
        <v>1000</v>
      </c>
      <c r="C40" s="30">
        <f>280/1000*תסיסה[[#This Row],[גודל מיכל]]</f>
        <v>280</v>
      </c>
      <c r="D40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100</v>
      </c>
      <c r="E40" s="30"/>
      <c r="F40" s="30"/>
      <c r="G40" s="30"/>
      <c r="H40" s="31"/>
      <c r="I40" s="31"/>
    </row>
    <row r="41" spans="1:9" x14ac:dyDescent="0.3">
      <c r="A41" s="82">
        <v>45868</v>
      </c>
      <c r="B41" s="30">
        <v>1000</v>
      </c>
      <c r="C41" s="30">
        <f>280/1000*תסיסה[[#This Row],[גודל מיכל]]</f>
        <v>280</v>
      </c>
      <c r="D41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100</v>
      </c>
      <c r="E41" s="30"/>
      <c r="F41" s="30"/>
      <c r="G41" s="30"/>
      <c r="H41" s="31"/>
      <c r="I41" s="31"/>
    </row>
    <row r="42" spans="1:9" x14ac:dyDescent="0.3">
      <c r="A42" s="82">
        <v>45872</v>
      </c>
      <c r="B42" s="30">
        <v>1000</v>
      </c>
      <c r="C42" s="30">
        <f>280/1000*תסיסה[[#This Row],[גודל מיכל]]</f>
        <v>280</v>
      </c>
      <c r="D42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-50</v>
      </c>
      <c r="E42" s="30"/>
      <c r="F42" s="30"/>
      <c r="G42" s="30"/>
      <c r="H42" s="31"/>
      <c r="I42" s="31"/>
    </row>
    <row r="43" spans="1:9" x14ac:dyDescent="0.3">
      <c r="A43" s="82">
        <v>45883</v>
      </c>
      <c r="B43" s="30">
        <v>1000</v>
      </c>
      <c r="C43" s="30">
        <f>280/1000*תסיסה[[#This Row],[גודל מיכל]]</f>
        <v>280</v>
      </c>
      <c r="D43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100</v>
      </c>
      <c r="E43" s="30"/>
      <c r="F43" s="30"/>
      <c r="G43" s="30"/>
      <c r="H43" s="31"/>
      <c r="I43" s="31"/>
    </row>
    <row r="44" spans="1:9" x14ac:dyDescent="0.3">
      <c r="A44" s="46">
        <v>45884</v>
      </c>
      <c r="B44" s="30">
        <v>500</v>
      </c>
      <c r="C44" s="30">
        <f>280/1000*תסיסה[[#This Row],[גודל מיכל]]</f>
        <v>140</v>
      </c>
      <c r="D44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50</v>
      </c>
      <c r="E44" s="30"/>
      <c r="F44" s="30"/>
      <c r="G44" s="30"/>
      <c r="H44" s="31"/>
      <c r="I44" s="31"/>
    </row>
    <row r="45" spans="1:9" x14ac:dyDescent="0.3">
      <c r="A45" s="82">
        <v>45887</v>
      </c>
      <c r="B45" s="30">
        <v>1000</v>
      </c>
      <c r="C45" s="30">
        <f>280/1000*תסיסה[[#This Row],[גודל מיכל]]</f>
        <v>280</v>
      </c>
      <c r="D45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100</v>
      </c>
      <c r="E45" s="30"/>
      <c r="F45" s="30"/>
      <c r="G45" s="30"/>
      <c r="H45" s="31"/>
      <c r="I45" s="31"/>
    </row>
    <row r="46" spans="1:9" x14ac:dyDescent="0.3">
      <c r="A46" s="82">
        <v>45919</v>
      </c>
      <c r="B46" s="30">
        <v>500</v>
      </c>
      <c r="C46" s="30">
        <f>280/1000*תסיסה[[#This Row],[גודל מיכל]]</f>
        <v>140</v>
      </c>
      <c r="D46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50</v>
      </c>
      <c r="E46" s="30"/>
      <c r="F46" s="30"/>
      <c r="G46" s="30"/>
      <c r="H46" s="31"/>
      <c r="I46" s="31"/>
    </row>
    <row r="47" spans="1:9" x14ac:dyDescent="0.3">
      <c r="A47" s="82">
        <v>45896</v>
      </c>
      <c r="B47" s="30">
        <v>1000</v>
      </c>
      <c r="C47" s="30">
        <f>280/1000*תסיסה[[#This Row],[גודל מיכל]]</f>
        <v>280</v>
      </c>
      <c r="D47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-350</v>
      </c>
      <c r="E47" s="30"/>
      <c r="F47" s="30"/>
      <c r="G47" s="30"/>
      <c r="H47" s="31"/>
      <c r="I47" s="31"/>
    </row>
    <row r="48" spans="1:9" x14ac:dyDescent="0.3">
      <c r="A48" s="46">
        <v>45900</v>
      </c>
      <c r="B48" s="30">
        <v>1000</v>
      </c>
      <c r="C48" s="30">
        <f>280/1000*תסיסה[[#This Row],[גודל מיכל]]</f>
        <v>280</v>
      </c>
      <c r="D48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0</v>
      </c>
      <c r="E48" s="30"/>
      <c r="F48" s="30"/>
      <c r="G48" s="30"/>
      <c r="H48" s="31"/>
      <c r="I48" s="31"/>
    </row>
    <row r="49" spans="1:9" x14ac:dyDescent="0.3">
      <c r="A49" s="46">
        <v>45910</v>
      </c>
      <c r="B49" s="30">
        <v>1000</v>
      </c>
      <c r="C49" s="30">
        <f>280/1000*תסיסה[[#This Row],[גודל מיכל]]</f>
        <v>280</v>
      </c>
      <c r="D49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650</v>
      </c>
      <c r="E49" s="30"/>
      <c r="F49" s="30"/>
      <c r="G49" s="30"/>
      <c r="H49" s="31"/>
      <c r="I49" s="31"/>
    </row>
    <row r="50" spans="1:9" x14ac:dyDescent="0.3">
      <c r="A50" s="46"/>
      <c r="B50" s="30"/>
      <c r="C50" s="30">
        <f>280/1000*תסיסה[[#This Row],[גודל מיכל]]</f>
        <v>0</v>
      </c>
      <c r="D50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0</v>
      </c>
      <c r="E50" s="30"/>
      <c r="F50" s="30"/>
      <c r="G50" s="30"/>
      <c r="H50" s="31"/>
      <c r="I50" s="31"/>
    </row>
    <row r="51" spans="1:9" x14ac:dyDescent="0.3">
      <c r="A51" s="46"/>
      <c r="B51" s="30"/>
      <c r="C51" s="30">
        <f>280/1000*תסיסה[[#This Row],[גודל מיכל]]</f>
        <v>0</v>
      </c>
      <c r="D51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0</v>
      </c>
      <c r="E51" s="30"/>
      <c r="F51" s="30"/>
      <c r="G51" s="30"/>
      <c r="H51" s="31"/>
      <c r="I51" s="31"/>
    </row>
    <row r="52" spans="1:9" x14ac:dyDescent="0.3">
      <c r="A52" s="46"/>
      <c r="B52" s="30"/>
      <c r="C52" s="30">
        <f>280/1000*תסיסה[[#This Row],[גודל מיכל]]</f>
        <v>0</v>
      </c>
      <c r="D52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0</v>
      </c>
      <c r="E52" s="30"/>
      <c r="F52" s="30"/>
      <c r="G52" s="30"/>
      <c r="H52" s="31"/>
      <c r="I52" s="31"/>
    </row>
    <row r="53" spans="1:9" x14ac:dyDescent="0.3">
      <c r="A53" s="46">
        <v>45958</v>
      </c>
      <c r="B53" s="30">
        <v>1000</v>
      </c>
      <c r="C53" s="30">
        <f>280/1000*תסיסה[[#This Row],[גודל מיכל]]</f>
        <v>280</v>
      </c>
      <c r="D53" s="30">
        <f>תסיסה[[#This Row],[גודל מיכל]] - SUMIFS(זיקוק_1[כמות זיקוק מהתססה], זיקוק_1[תאריך 
תסיסה], "&gt;="&amp;תסיסה[[#This Row],[תאריך]], זיקוק_1[תאריך 
תסיסה], "&lt;="&amp;תסיסה[[#This Row],[תאריך]])</f>
        <v>1000</v>
      </c>
      <c r="E53" s="30"/>
      <c r="F53" s="30"/>
      <c r="G53" s="30"/>
      <c r="H53" s="31"/>
      <c r="I53" s="31" t="s">
        <v>557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B0FE-7B85-4959-8DBE-EF72690D184D}">
  <dimension ref="A1:N249"/>
  <sheetViews>
    <sheetView rightToLeft="1" workbookViewId="0">
      <pane ySplit="1" topLeftCell="A238" activePane="bottomLeft" state="frozen"/>
      <selection pane="bottomLeft" activeCell="A244" sqref="A244"/>
    </sheetView>
  </sheetViews>
  <sheetFormatPr defaultRowHeight="14" x14ac:dyDescent="0.3"/>
  <cols>
    <col min="1" max="1" width="10.25" bestFit="1" customWidth="1"/>
    <col min="2" max="2" width="9.08203125" bestFit="1" customWidth="1"/>
    <col min="3" max="3" width="9.08203125" customWidth="1"/>
    <col min="4" max="4" width="10.08203125" bestFit="1" customWidth="1"/>
    <col min="5" max="5" width="16.6640625" customWidth="1"/>
    <col min="6" max="6" width="22.9140625" customWidth="1"/>
    <col min="7" max="7" width="14.33203125" customWidth="1"/>
    <col min="8" max="9" width="14.5" customWidth="1"/>
    <col min="10" max="10" width="10.83203125" customWidth="1"/>
    <col min="11" max="11" width="11.4140625" customWidth="1"/>
    <col min="12" max="12" width="21.33203125" customWidth="1"/>
  </cols>
  <sheetData>
    <row r="1" spans="1:14" ht="42.5" thickBot="1" x14ac:dyDescent="0.35">
      <c r="A1" s="56" t="s">
        <v>5</v>
      </c>
      <c r="B1" s="57" t="s">
        <v>18</v>
      </c>
      <c r="C1" s="89" t="s">
        <v>229</v>
      </c>
      <c r="D1" s="58" t="s">
        <v>44</v>
      </c>
      <c r="E1" s="58" t="s">
        <v>105</v>
      </c>
      <c r="F1" s="58" t="s">
        <v>28</v>
      </c>
      <c r="G1" s="59" t="s">
        <v>386</v>
      </c>
      <c r="H1" s="59" t="s">
        <v>103</v>
      </c>
      <c r="I1" s="59" t="s">
        <v>462</v>
      </c>
      <c r="J1" s="57" t="s">
        <v>10</v>
      </c>
      <c r="K1" s="59" t="s">
        <v>106</v>
      </c>
      <c r="L1" s="60" t="s">
        <v>8</v>
      </c>
    </row>
    <row r="2" spans="1:14" ht="14.5" thickBot="1" x14ac:dyDescent="0.35">
      <c r="A2" s="77" t="s">
        <v>35</v>
      </c>
      <c r="B2" s="49" t="s">
        <v>39</v>
      </c>
      <c r="C2" s="49" t="s">
        <v>230</v>
      </c>
      <c r="D2" s="61">
        <v>45638</v>
      </c>
      <c r="E2" s="49">
        <v>0</v>
      </c>
      <c r="F2" s="49">
        <v>0.55000000000000004</v>
      </c>
      <c r="G2" s="49"/>
      <c r="H2" s="50">
        <v>0.2</v>
      </c>
      <c r="I2" s="49">
        <v>99.9</v>
      </c>
      <c r="J2" s="49" t="s">
        <v>38</v>
      </c>
      <c r="K2" s="49">
        <v>10</v>
      </c>
      <c r="L2" s="49"/>
      <c r="N2" s="47">
        <f>SUM(זיקוק_1[כמות זיקוק מהתססה])</f>
        <v>40400</v>
      </c>
    </row>
    <row r="3" spans="1:14" ht="14.5" thickBot="1" x14ac:dyDescent="0.35">
      <c r="A3" s="78">
        <v>45649</v>
      </c>
      <c r="B3" s="52" t="s">
        <v>33</v>
      </c>
      <c r="C3" s="49" t="s">
        <v>230</v>
      </c>
      <c r="D3" s="51" t="s">
        <v>19</v>
      </c>
      <c r="E3" s="51">
        <v>0</v>
      </c>
      <c r="F3" s="53">
        <v>0.55000000000000004</v>
      </c>
      <c r="G3" s="52"/>
      <c r="H3" s="53">
        <v>20</v>
      </c>
      <c r="I3" s="49">
        <v>99.9</v>
      </c>
      <c r="J3" s="52" t="s">
        <v>34</v>
      </c>
      <c r="K3" s="52">
        <v>10</v>
      </c>
      <c r="L3" s="79"/>
    </row>
    <row r="4" spans="1:14" ht="14.5" thickBot="1" x14ac:dyDescent="0.35">
      <c r="A4" s="80">
        <v>45650</v>
      </c>
      <c r="B4" s="54" t="s">
        <v>40</v>
      </c>
      <c r="C4" s="49" t="s">
        <v>230</v>
      </c>
      <c r="D4" s="54" t="s">
        <v>19</v>
      </c>
      <c r="E4" s="54">
        <v>130</v>
      </c>
      <c r="F4" s="55" t="s">
        <v>19</v>
      </c>
      <c r="G4" s="54"/>
      <c r="H4" s="54">
        <v>20</v>
      </c>
      <c r="I4" s="49">
        <v>99.9</v>
      </c>
      <c r="J4" s="54" t="s">
        <v>19</v>
      </c>
      <c r="K4" s="54">
        <v>16</v>
      </c>
      <c r="L4" s="81"/>
    </row>
    <row r="5" spans="1:14" ht="14.5" thickBot="1" x14ac:dyDescent="0.35">
      <c r="A5" s="78">
        <v>45650</v>
      </c>
      <c r="B5" s="52" t="s">
        <v>40</v>
      </c>
      <c r="C5" s="49" t="s">
        <v>230</v>
      </c>
      <c r="D5" s="51" t="s">
        <v>19</v>
      </c>
      <c r="E5" s="54">
        <v>130</v>
      </c>
      <c r="F5" s="53" t="s">
        <v>19</v>
      </c>
      <c r="G5" s="52"/>
      <c r="H5" s="52">
        <v>20</v>
      </c>
      <c r="I5" s="49">
        <v>99.9</v>
      </c>
      <c r="J5" s="52" t="s">
        <v>19</v>
      </c>
      <c r="K5" s="52">
        <v>16</v>
      </c>
      <c r="L5" s="79"/>
    </row>
    <row r="6" spans="1:14" ht="14.5" thickBot="1" x14ac:dyDescent="0.35">
      <c r="A6" s="80">
        <v>45651</v>
      </c>
      <c r="B6" s="54" t="s">
        <v>40</v>
      </c>
      <c r="C6" s="49" t="s">
        <v>230</v>
      </c>
      <c r="D6" s="54" t="s">
        <v>19</v>
      </c>
      <c r="E6" s="54">
        <v>130</v>
      </c>
      <c r="F6" s="55" t="s">
        <v>19</v>
      </c>
      <c r="G6" s="54"/>
      <c r="H6" s="55">
        <v>20</v>
      </c>
      <c r="I6" s="49">
        <v>99.9</v>
      </c>
      <c r="J6" s="54" t="s">
        <v>41</v>
      </c>
      <c r="K6" s="54">
        <v>16</v>
      </c>
      <c r="L6" s="81"/>
    </row>
    <row r="7" spans="1:14" ht="14.5" thickBot="1" x14ac:dyDescent="0.35">
      <c r="A7" s="78">
        <v>45652</v>
      </c>
      <c r="B7" s="52" t="s">
        <v>40</v>
      </c>
      <c r="C7" s="49" t="s">
        <v>230</v>
      </c>
      <c r="D7" s="46">
        <v>45623</v>
      </c>
      <c r="E7" s="54">
        <v>130</v>
      </c>
      <c r="F7" s="52">
        <v>60</v>
      </c>
      <c r="G7" s="54"/>
      <c r="H7" s="52">
        <v>20</v>
      </c>
      <c r="I7" s="49">
        <v>99.9</v>
      </c>
      <c r="J7" s="52" t="s">
        <v>20</v>
      </c>
      <c r="K7" s="52">
        <v>16</v>
      </c>
      <c r="L7" s="52"/>
    </row>
    <row r="8" spans="1:14" ht="14.5" thickBot="1" x14ac:dyDescent="0.35">
      <c r="A8" s="80">
        <v>45653</v>
      </c>
      <c r="B8" s="54" t="s">
        <v>40</v>
      </c>
      <c r="C8" s="49" t="s">
        <v>230</v>
      </c>
      <c r="D8" s="46">
        <v>45623</v>
      </c>
      <c r="E8" s="54">
        <v>130</v>
      </c>
      <c r="F8" s="54">
        <v>60</v>
      </c>
      <c r="G8" s="54"/>
      <c r="H8" s="54">
        <v>20</v>
      </c>
      <c r="I8" s="49">
        <v>99.9</v>
      </c>
      <c r="J8" s="54" t="s">
        <v>41</v>
      </c>
      <c r="K8" s="54"/>
      <c r="L8" s="54"/>
    </row>
    <row r="9" spans="1:14" ht="14.5" thickBot="1" x14ac:dyDescent="0.35">
      <c r="A9" s="82">
        <v>45655</v>
      </c>
      <c r="B9" s="54" t="s">
        <v>40</v>
      </c>
      <c r="C9" s="49" t="s">
        <v>230</v>
      </c>
      <c r="D9" s="82">
        <v>45623</v>
      </c>
      <c r="E9" s="3">
        <v>130</v>
      </c>
      <c r="F9" s="54">
        <v>60</v>
      </c>
      <c r="G9" s="54"/>
      <c r="H9" s="3">
        <v>20</v>
      </c>
      <c r="I9" s="49">
        <v>99.9</v>
      </c>
      <c r="J9" s="3" t="s">
        <v>150</v>
      </c>
      <c r="K9" s="54"/>
      <c r="L9" s="3"/>
    </row>
    <row r="10" spans="1:14" ht="14.5" thickBot="1" x14ac:dyDescent="0.35">
      <c r="A10" s="82">
        <v>45656</v>
      </c>
      <c r="B10" s="54" t="s">
        <v>40</v>
      </c>
      <c r="C10" s="49" t="s">
        <v>230</v>
      </c>
      <c r="D10" s="82">
        <v>45623</v>
      </c>
      <c r="E10" s="3">
        <v>130</v>
      </c>
      <c r="F10" s="54">
        <v>60</v>
      </c>
      <c r="G10" s="54"/>
      <c r="H10" s="3">
        <v>18</v>
      </c>
      <c r="I10" s="49">
        <v>99.9</v>
      </c>
      <c r="J10" s="3" t="s">
        <v>20</v>
      </c>
      <c r="K10" s="54"/>
      <c r="L10" s="3"/>
    </row>
    <row r="11" spans="1:14" ht="14.5" thickBot="1" x14ac:dyDescent="0.35">
      <c r="A11" s="82">
        <v>45656</v>
      </c>
      <c r="B11" s="54" t="s">
        <v>40</v>
      </c>
      <c r="C11" s="49" t="s">
        <v>230</v>
      </c>
      <c r="D11" s="82">
        <v>45623</v>
      </c>
      <c r="E11" s="3">
        <v>130</v>
      </c>
      <c r="F11" s="3">
        <v>60</v>
      </c>
      <c r="G11" s="54"/>
      <c r="H11" s="3">
        <v>20</v>
      </c>
      <c r="I11" s="49">
        <v>99.9</v>
      </c>
      <c r="J11" s="3" t="s">
        <v>151</v>
      </c>
      <c r="K11" s="54"/>
      <c r="L11" s="3"/>
    </row>
    <row r="12" spans="1:14" ht="14.5" thickBot="1" x14ac:dyDescent="0.35">
      <c r="A12" s="82">
        <v>45657</v>
      </c>
      <c r="B12" s="54" t="s">
        <v>40</v>
      </c>
      <c r="C12" s="49" t="s">
        <v>230</v>
      </c>
      <c r="D12" s="82">
        <v>45623</v>
      </c>
      <c r="E12" s="3">
        <v>130</v>
      </c>
      <c r="F12" s="3">
        <v>69</v>
      </c>
      <c r="G12" s="54"/>
      <c r="H12" s="3">
        <v>18</v>
      </c>
      <c r="I12" s="49">
        <v>99.9</v>
      </c>
      <c r="J12" s="3" t="s">
        <v>153</v>
      </c>
      <c r="K12" s="54">
        <v>20</v>
      </c>
      <c r="L12" s="3"/>
    </row>
    <row r="13" spans="1:14" ht="14.5" thickBot="1" x14ac:dyDescent="0.35">
      <c r="A13" s="82">
        <v>45627</v>
      </c>
      <c r="B13" s="54" t="s">
        <v>40</v>
      </c>
      <c r="C13" s="49" t="s">
        <v>230</v>
      </c>
      <c r="D13" s="82">
        <v>45629</v>
      </c>
      <c r="E13" s="3">
        <v>130</v>
      </c>
      <c r="F13" s="3">
        <v>70</v>
      </c>
      <c r="G13" s="54"/>
      <c r="H13" s="3">
        <v>25</v>
      </c>
      <c r="I13" s="49">
        <v>99.9</v>
      </c>
      <c r="J13" s="3" t="s">
        <v>156</v>
      </c>
      <c r="K13" s="54">
        <v>20</v>
      </c>
      <c r="L13" s="3"/>
    </row>
    <row r="14" spans="1:14" ht="14.5" thickBot="1" x14ac:dyDescent="0.35">
      <c r="A14" s="82">
        <v>45293</v>
      </c>
      <c r="B14" s="54" t="s">
        <v>40</v>
      </c>
      <c r="C14" s="49" t="s">
        <v>230</v>
      </c>
      <c r="D14" s="82">
        <v>45629</v>
      </c>
      <c r="E14" s="3">
        <v>130</v>
      </c>
      <c r="F14" s="3">
        <v>65</v>
      </c>
      <c r="G14" s="54"/>
      <c r="H14" s="3">
        <v>23</v>
      </c>
      <c r="I14" s="49">
        <v>99.9</v>
      </c>
      <c r="J14" s="3" t="s">
        <v>157</v>
      </c>
      <c r="K14" s="54">
        <v>22</v>
      </c>
      <c r="L14" s="3"/>
    </row>
    <row r="15" spans="1:14" ht="14.5" thickBot="1" x14ac:dyDescent="0.35">
      <c r="A15" s="82">
        <v>45294</v>
      </c>
      <c r="B15" s="54" t="s">
        <v>40</v>
      </c>
      <c r="C15" s="49" t="s">
        <v>230</v>
      </c>
      <c r="D15" s="82">
        <v>45629</v>
      </c>
      <c r="E15" s="3">
        <v>130</v>
      </c>
      <c r="F15" s="3">
        <v>70</v>
      </c>
      <c r="G15" s="54"/>
      <c r="H15" s="3">
        <v>20</v>
      </c>
      <c r="I15" s="49">
        <v>99.9</v>
      </c>
      <c r="J15" s="3" t="s">
        <v>158</v>
      </c>
      <c r="K15" s="54">
        <v>23</v>
      </c>
      <c r="L15" s="3"/>
    </row>
    <row r="16" spans="1:14" ht="14.5" thickBot="1" x14ac:dyDescent="0.35">
      <c r="A16" s="82">
        <v>45662</v>
      </c>
      <c r="B16" s="54" t="s">
        <v>40</v>
      </c>
      <c r="C16" s="49" t="s">
        <v>230</v>
      </c>
      <c r="D16" s="82">
        <v>45629</v>
      </c>
      <c r="E16" s="3">
        <v>110</v>
      </c>
      <c r="F16" s="3">
        <v>59</v>
      </c>
      <c r="G16" s="54"/>
      <c r="H16" s="3">
        <v>18</v>
      </c>
      <c r="I16" s="49">
        <v>99.9</v>
      </c>
      <c r="J16" s="3" t="s">
        <v>163</v>
      </c>
      <c r="K16" s="54">
        <v>20</v>
      </c>
      <c r="L16" s="3"/>
    </row>
    <row r="17" spans="1:12" ht="14.5" thickBot="1" x14ac:dyDescent="0.35">
      <c r="A17" s="82">
        <v>45663</v>
      </c>
      <c r="B17" s="54" t="s">
        <v>177</v>
      </c>
      <c r="C17" s="49" t="s">
        <v>230</v>
      </c>
      <c r="D17" s="3" t="s">
        <v>19</v>
      </c>
      <c r="E17" s="3" t="s">
        <v>19</v>
      </c>
      <c r="F17" s="3">
        <v>0.55000000000000004</v>
      </c>
      <c r="G17" s="54"/>
      <c r="H17" s="3"/>
      <c r="I17" s="49">
        <v>99.9</v>
      </c>
      <c r="J17" s="3" t="s">
        <v>185</v>
      </c>
      <c r="K17" s="54">
        <v>15</v>
      </c>
      <c r="L17" s="3"/>
    </row>
    <row r="18" spans="1:12" ht="14.5" thickBot="1" x14ac:dyDescent="0.35">
      <c r="A18" s="82">
        <v>45664</v>
      </c>
      <c r="B18" s="54" t="s">
        <v>177</v>
      </c>
      <c r="C18" s="49" t="s">
        <v>230</v>
      </c>
      <c r="D18" s="3" t="s">
        <v>19</v>
      </c>
      <c r="E18" s="3" t="s">
        <v>19</v>
      </c>
      <c r="F18" s="3">
        <v>0.55000000000000004</v>
      </c>
      <c r="G18" s="54"/>
      <c r="H18" s="3"/>
      <c r="I18" s="49">
        <v>99.9</v>
      </c>
      <c r="J18" s="3"/>
      <c r="K18" s="54">
        <v>15</v>
      </c>
      <c r="L18" s="3"/>
    </row>
    <row r="19" spans="1:12" ht="14.5" thickBot="1" x14ac:dyDescent="0.35">
      <c r="A19" s="82">
        <v>45665</v>
      </c>
      <c r="B19" s="54" t="s">
        <v>40</v>
      </c>
      <c r="C19" s="49" t="s">
        <v>230</v>
      </c>
      <c r="D19" s="82">
        <v>45631</v>
      </c>
      <c r="E19" s="3">
        <v>130</v>
      </c>
      <c r="F19" s="3">
        <v>60</v>
      </c>
      <c r="G19" s="54"/>
      <c r="H19" s="3">
        <v>25</v>
      </c>
      <c r="I19" s="49">
        <v>99.9</v>
      </c>
      <c r="J19" s="3" t="s">
        <v>186</v>
      </c>
      <c r="K19" s="54">
        <v>26</v>
      </c>
      <c r="L19" s="3"/>
    </row>
    <row r="20" spans="1:12" ht="14.5" thickBot="1" x14ac:dyDescent="0.35">
      <c r="A20" s="82">
        <v>45666</v>
      </c>
      <c r="B20" s="54" t="s">
        <v>40</v>
      </c>
      <c r="C20" s="49" t="s">
        <v>230</v>
      </c>
      <c r="D20" s="82">
        <v>45631</v>
      </c>
      <c r="E20" s="3">
        <v>130</v>
      </c>
      <c r="F20" s="3">
        <v>62</v>
      </c>
      <c r="G20" s="54"/>
      <c r="H20" s="3">
        <v>22</v>
      </c>
      <c r="I20" s="49">
        <v>99.9</v>
      </c>
      <c r="J20" s="3" t="s">
        <v>188</v>
      </c>
      <c r="K20" s="54">
        <v>20</v>
      </c>
      <c r="L20" s="3"/>
    </row>
    <row r="21" spans="1:12" ht="14.5" thickBot="1" x14ac:dyDescent="0.35">
      <c r="A21" s="82">
        <v>45667</v>
      </c>
      <c r="B21" s="54" t="s">
        <v>40</v>
      </c>
      <c r="C21" s="49" t="s">
        <v>230</v>
      </c>
      <c r="D21" s="82">
        <v>45631</v>
      </c>
      <c r="E21" s="3">
        <v>130</v>
      </c>
      <c r="F21" s="3" t="s">
        <v>19</v>
      </c>
      <c r="G21" s="54"/>
      <c r="H21" s="3" t="s">
        <v>19</v>
      </c>
      <c r="I21" s="49">
        <v>99.9</v>
      </c>
      <c r="J21" s="3" t="s">
        <v>189</v>
      </c>
      <c r="K21" s="54">
        <v>20</v>
      </c>
      <c r="L21" s="3" t="s">
        <v>191</v>
      </c>
    </row>
    <row r="22" spans="1:12" ht="14.5" thickBot="1" x14ac:dyDescent="0.35">
      <c r="A22" s="82">
        <v>45669</v>
      </c>
      <c r="B22" s="54" t="s">
        <v>40</v>
      </c>
      <c r="C22" s="49" t="s">
        <v>230</v>
      </c>
      <c r="D22" s="82">
        <v>45631</v>
      </c>
      <c r="E22" s="3">
        <v>110</v>
      </c>
      <c r="F22" s="3" t="s">
        <v>19</v>
      </c>
      <c r="G22" s="54"/>
      <c r="H22" s="3" t="s">
        <v>19</v>
      </c>
      <c r="I22" s="49">
        <v>99.9</v>
      </c>
      <c r="J22" s="3" t="s">
        <v>20</v>
      </c>
      <c r="K22" s="54">
        <v>15</v>
      </c>
      <c r="L22" s="3" t="s">
        <v>190</v>
      </c>
    </row>
    <row r="23" spans="1:12" ht="14.5" thickBot="1" x14ac:dyDescent="0.35">
      <c r="A23" s="82">
        <v>45669</v>
      </c>
      <c r="B23" s="54" t="s">
        <v>40</v>
      </c>
      <c r="C23" s="49" t="s">
        <v>230</v>
      </c>
      <c r="D23" s="82">
        <v>45636</v>
      </c>
      <c r="E23" s="3">
        <v>110</v>
      </c>
      <c r="F23" s="3" t="s">
        <v>19</v>
      </c>
      <c r="G23" s="54"/>
      <c r="H23" s="3" t="s">
        <v>19</v>
      </c>
      <c r="I23" s="49">
        <v>99.9</v>
      </c>
      <c r="J23" s="3" t="s">
        <v>20</v>
      </c>
      <c r="K23" s="54">
        <v>5</v>
      </c>
      <c r="L23" s="3" t="s">
        <v>190</v>
      </c>
    </row>
    <row r="24" spans="1:12" ht="14.5" thickBot="1" x14ac:dyDescent="0.35">
      <c r="A24" s="82">
        <v>45670</v>
      </c>
      <c r="B24" s="54" t="s">
        <v>40</v>
      </c>
      <c r="C24" s="49" t="s">
        <v>230</v>
      </c>
      <c r="D24" s="82">
        <v>45636</v>
      </c>
      <c r="E24" s="3">
        <v>140</v>
      </c>
      <c r="F24" s="3" t="s">
        <v>19</v>
      </c>
      <c r="G24" s="54"/>
      <c r="H24" s="3" t="s">
        <v>19</v>
      </c>
      <c r="I24" s="49">
        <v>99.9</v>
      </c>
      <c r="J24" s="3" t="s">
        <v>189</v>
      </c>
      <c r="K24" s="54">
        <v>20</v>
      </c>
      <c r="L24" s="3" t="s">
        <v>191</v>
      </c>
    </row>
    <row r="25" spans="1:12" ht="14.5" thickBot="1" x14ac:dyDescent="0.35">
      <c r="A25" s="82">
        <v>45671</v>
      </c>
      <c r="B25" s="54" t="s">
        <v>40</v>
      </c>
      <c r="C25" s="49" t="s">
        <v>230</v>
      </c>
      <c r="D25" s="82">
        <v>45636</v>
      </c>
      <c r="E25" s="3">
        <v>140</v>
      </c>
      <c r="F25" s="3" t="s">
        <v>19</v>
      </c>
      <c r="G25" s="54"/>
      <c r="H25" s="3" t="s">
        <v>19</v>
      </c>
      <c r="I25" s="49">
        <v>99.9</v>
      </c>
      <c r="J25" s="3" t="s">
        <v>189</v>
      </c>
      <c r="K25" s="54">
        <v>22</v>
      </c>
      <c r="L25" s="3"/>
    </row>
    <row r="26" spans="1:12" ht="14.5" thickBot="1" x14ac:dyDescent="0.35">
      <c r="A26" s="82">
        <v>45672</v>
      </c>
      <c r="B26" s="54" t="s">
        <v>40</v>
      </c>
      <c r="C26" s="49" t="s">
        <v>230</v>
      </c>
      <c r="D26" s="82">
        <v>45636</v>
      </c>
      <c r="E26" s="3">
        <v>140</v>
      </c>
      <c r="F26" s="3" t="s">
        <v>19</v>
      </c>
      <c r="G26" s="54"/>
      <c r="H26" s="3" t="s">
        <v>19</v>
      </c>
      <c r="I26" s="49">
        <v>99.9</v>
      </c>
      <c r="J26" s="3" t="s">
        <v>189</v>
      </c>
      <c r="K26" s="54">
        <v>20</v>
      </c>
      <c r="L26" s="3"/>
    </row>
    <row r="27" spans="1:12" ht="14.5" thickBot="1" x14ac:dyDescent="0.35">
      <c r="A27" s="82">
        <v>45673</v>
      </c>
      <c r="B27" s="54" t="s">
        <v>40</v>
      </c>
      <c r="C27" s="49" t="s">
        <v>230</v>
      </c>
      <c r="D27" s="82">
        <v>45636</v>
      </c>
      <c r="E27" s="3">
        <v>140</v>
      </c>
      <c r="F27" s="3" t="s">
        <v>19</v>
      </c>
      <c r="G27" s="54"/>
      <c r="H27" s="3" t="s">
        <v>19</v>
      </c>
      <c r="I27" s="49">
        <v>99.9</v>
      </c>
      <c r="J27" s="3" t="s">
        <v>192</v>
      </c>
      <c r="K27" s="54">
        <v>20</v>
      </c>
      <c r="L27" s="3"/>
    </row>
    <row r="28" spans="1:12" ht="14.5" thickBot="1" x14ac:dyDescent="0.35">
      <c r="A28" s="82">
        <v>45674</v>
      </c>
      <c r="B28" s="54" t="s">
        <v>40</v>
      </c>
      <c r="C28" s="49" t="s">
        <v>230</v>
      </c>
      <c r="D28" s="82">
        <v>45636</v>
      </c>
      <c r="E28" s="3">
        <v>140</v>
      </c>
      <c r="F28" s="3">
        <v>45</v>
      </c>
      <c r="G28" s="54"/>
      <c r="H28" s="3">
        <v>23</v>
      </c>
      <c r="I28" s="49">
        <v>99.9</v>
      </c>
      <c r="J28" s="3" t="s">
        <v>193</v>
      </c>
      <c r="K28" s="54">
        <v>15</v>
      </c>
      <c r="L28" s="3"/>
    </row>
    <row r="29" spans="1:12" ht="14.5" thickBot="1" x14ac:dyDescent="0.35">
      <c r="A29" s="82">
        <v>45676</v>
      </c>
      <c r="B29" s="54" t="s">
        <v>40</v>
      </c>
      <c r="C29" s="49" t="s">
        <v>230</v>
      </c>
      <c r="D29" s="82">
        <v>45636</v>
      </c>
      <c r="E29" s="3">
        <v>140</v>
      </c>
      <c r="F29" s="3">
        <v>52</v>
      </c>
      <c r="G29" s="54"/>
      <c r="H29" s="3">
        <v>20</v>
      </c>
      <c r="I29" s="49">
        <v>99.9</v>
      </c>
      <c r="J29" s="3" t="s">
        <v>196</v>
      </c>
      <c r="K29" s="54">
        <v>19</v>
      </c>
      <c r="L29" s="3"/>
    </row>
    <row r="30" spans="1:12" ht="14.5" thickBot="1" x14ac:dyDescent="0.35">
      <c r="A30" s="82">
        <v>45677</v>
      </c>
      <c r="B30" s="54" t="s">
        <v>40</v>
      </c>
      <c r="C30" s="49" t="s">
        <v>230</v>
      </c>
      <c r="D30" s="82">
        <v>45636</v>
      </c>
      <c r="E30" s="3">
        <v>50</v>
      </c>
      <c r="F30" s="3">
        <v>55</v>
      </c>
      <c r="G30" s="54"/>
      <c r="H30" s="3">
        <v>20</v>
      </c>
      <c r="I30" s="49">
        <v>99.9</v>
      </c>
      <c r="J30" s="3" t="s">
        <v>199</v>
      </c>
      <c r="K30" s="54">
        <v>22</v>
      </c>
      <c r="L30" s="3"/>
    </row>
    <row r="31" spans="1:12" ht="14.5" thickBot="1" x14ac:dyDescent="0.35">
      <c r="A31" s="82">
        <v>45677</v>
      </c>
      <c r="B31" s="54" t="s">
        <v>40</v>
      </c>
      <c r="C31" s="49" t="s">
        <v>230</v>
      </c>
      <c r="D31" s="82">
        <v>45642</v>
      </c>
      <c r="E31" s="3">
        <v>100</v>
      </c>
      <c r="F31" s="3" t="s">
        <v>19</v>
      </c>
      <c r="G31" s="54"/>
      <c r="H31" s="3" t="s">
        <v>19</v>
      </c>
      <c r="I31" s="49">
        <v>99.9</v>
      </c>
      <c r="J31" s="3" t="s">
        <v>19</v>
      </c>
      <c r="K31" s="54" t="s">
        <v>19</v>
      </c>
      <c r="L31" s="3" t="s">
        <v>200</v>
      </c>
    </row>
    <row r="32" spans="1:12" ht="14.5" thickBot="1" x14ac:dyDescent="0.35">
      <c r="A32" s="82">
        <v>45679</v>
      </c>
      <c r="B32" s="54" t="s">
        <v>40</v>
      </c>
      <c r="C32" s="49" t="s">
        <v>230</v>
      </c>
      <c r="D32" s="82">
        <v>45642</v>
      </c>
      <c r="E32" s="3">
        <v>150</v>
      </c>
      <c r="F32" s="3">
        <v>55</v>
      </c>
      <c r="G32" s="54"/>
      <c r="H32" s="3">
        <v>20</v>
      </c>
      <c r="I32" s="49">
        <v>99.9</v>
      </c>
      <c r="J32" s="3" t="s">
        <v>201</v>
      </c>
      <c r="K32" s="54">
        <v>15</v>
      </c>
      <c r="L32" s="3"/>
    </row>
    <row r="33" spans="1:12" ht="14.5" thickBot="1" x14ac:dyDescent="0.35">
      <c r="A33" s="82">
        <v>45680</v>
      </c>
      <c r="B33" s="54" t="s">
        <v>40</v>
      </c>
      <c r="C33" s="49" t="s">
        <v>230</v>
      </c>
      <c r="D33" s="82">
        <v>45642</v>
      </c>
      <c r="E33" s="3">
        <v>150</v>
      </c>
      <c r="F33" s="3">
        <v>67</v>
      </c>
      <c r="G33" s="54"/>
      <c r="H33" s="54">
        <v>25</v>
      </c>
      <c r="I33" s="49">
        <v>99.9</v>
      </c>
      <c r="J33" s="3" t="s">
        <v>204</v>
      </c>
      <c r="K33" s="54">
        <v>25</v>
      </c>
      <c r="L33" s="3"/>
    </row>
    <row r="34" spans="1:12" ht="14.5" thickBot="1" x14ac:dyDescent="0.35">
      <c r="A34" s="82">
        <v>45681</v>
      </c>
      <c r="B34" s="54" t="s">
        <v>40</v>
      </c>
      <c r="C34" s="49" t="s">
        <v>230</v>
      </c>
      <c r="D34" s="82">
        <v>45642</v>
      </c>
      <c r="E34" s="3">
        <v>150</v>
      </c>
      <c r="F34" s="3">
        <v>65</v>
      </c>
      <c r="G34" s="54"/>
      <c r="H34" s="3">
        <v>25</v>
      </c>
      <c r="I34" s="49">
        <v>99.9</v>
      </c>
      <c r="J34" s="3" t="s">
        <v>205</v>
      </c>
      <c r="K34" s="54">
        <v>17</v>
      </c>
      <c r="L34" s="3"/>
    </row>
    <row r="35" spans="1:12" ht="14.5" thickBot="1" x14ac:dyDescent="0.35">
      <c r="A35" s="82">
        <v>45683</v>
      </c>
      <c r="B35" s="54" t="s">
        <v>40</v>
      </c>
      <c r="C35" s="49" t="s">
        <v>230</v>
      </c>
      <c r="D35" s="82">
        <v>45642</v>
      </c>
      <c r="E35" s="3">
        <v>150</v>
      </c>
      <c r="F35" s="3">
        <v>64</v>
      </c>
      <c r="G35" s="54"/>
      <c r="H35" s="3">
        <v>24</v>
      </c>
      <c r="I35" s="49">
        <v>99.9</v>
      </c>
      <c r="J35" s="3" t="s">
        <v>206</v>
      </c>
      <c r="K35" s="54">
        <v>18</v>
      </c>
      <c r="L35" s="3"/>
    </row>
    <row r="36" spans="1:12" ht="14.5" thickBot="1" x14ac:dyDescent="0.35">
      <c r="A36" s="82">
        <v>45683</v>
      </c>
      <c r="B36" s="54" t="s">
        <v>40</v>
      </c>
      <c r="C36" s="49" t="s">
        <v>230</v>
      </c>
      <c r="D36" s="82">
        <v>45642</v>
      </c>
      <c r="E36" s="3">
        <v>150</v>
      </c>
      <c r="F36" s="3">
        <v>64</v>
      </c>
      <c r="G36" s="54"/>
      <c r="H36" s="3">
        <v>25</v>
      </c>
      <c r="I36" s="49">
        <v>99.9</v>
      </c>
      <c r="J36" s="3" t="s">
        <v>207</v>
      </c>
      <c r="K36" s="54">
        <v>18</v>
      </c>
      <c r="L36" s="3"/>
    </row>
    <row r="37" spans="1:12" ht="14.5" thickBot="1" x14ac:dyDescent="0.35">
      <c r="A37" s="82">
        <v>45684</v>
      </c>
      <c r="B37" s="54" t="s">
        <v>40</v>
      </c>
      <c r="C37" s="49" t="s">
        <v>230</v>
      </c>
      <c r="D37" s="82">
        <v>45642</v>
      </c>
      <c r="E37" s="3">
        <v>150</v>
      </c>
      <c r="F37" s="3">
        <v>57</v>
      </c>
      <c r="G37" s="54"/>
      <c r="H37" s="3">
        <v>22</v>
      </c>
      <c r="I37" s="49">
        <v>99.9</v>
      </c>
      <c r="J37" s="3" t="s">
        <v>215</v>
      </c>
      <c r="K37" s="54">
        <v>17</v>
      </c>
      <c r="L37" s="3"/>
    </row>
    <row r="38" spans="1:12" ht="14.5" thickBot="1" x14ac:dyDescent="0.35">
      <c r="A38" s="82">
        <v>45685</v>
      </c>
      <c r="B38" s="54" t="s">
        <v>177</v>
      </c>
      <c r="C38" s="49" t="s">
        <v>230</v>
      </c>
      <c r="D38" s="3" t="s">
        <v>19</v>
      </c>
      <c r="E38" s="3" t="s">
        <v>19</v>
      </c>
      <c r="F38" s="3">
        <v>55</v>
      </c>
      <c r="G38" s="54"/>
      <c r="H38" s="3">
        <v>20</v>
      </c>
      <c r="I38" s="49">
        <v>99.9</v>
      </c>
      <c r="J38" s="3" t="s">
        <v>214</v>
      </c>
      <c r="K38" s="54">
        <v>12</v>
      </c>
      <c r="L38" s="3"/>
    </row>
    <row r="39" spans="1:12" ht="14.5" thickBot="1" x14ac:dyDescent="0.35">
      <c r="A39" s="82">
        <v>45686</v>
      </c>
      <c r="B39" s="54" t="s">
        <v>177</v>
      </c>
      <c r="C39" s="49" t="s">
        <v>230</v>
      </c>
      <c r="D39" s="3" t="s">
        <v>19</v>
      </c>
      <c r="E39" s="3" t="s">
        <v>19</v>
      </c>
      <c r="F39" s="3">
        <v>55</v>
      </c>
      <c r="G39" s="54"/>
      <c r="H39" s="3"/>
      <c r="I39" s="49">
        <v>99.9</v>
      </c>
      <c r="J39" s="3">
        <v>0.63194444444444442</v>
      </c>
      <c r="K39" s="54"/>
      <c r="L39" s="3"/>
    </row>
    <row r="40" spans="1:12" ht="14.5" thickBot="1" x14ac:dyDescent="0.35">
      <c r="A40" s="82">
        <v>45687</v>
      </c>
      <c r="B40" s="54" t="s">
        <v>39</v>
      </c>
      <c r="C40" s="49" t="s">
        <v>230</v>
      </c>
      <c r="D40" s="3" t="s">
        <v>19</v>
      </c>
      <c r="E40" s="3" t="s">
        <v>19</v>
      </c>
      <c r="F40" s="3">
        <v>55</v>
      </c>
      <c r="G40" s="54"/>
      <c r="H40" s="3">
        <v>20</v>
      </c>
      <c r="I40" s="49">
        <v>99.9</v>
      </c>
      <c r="J40" s="3" t="s">
        <v>223</v>
      </c>
      <c r="K40" s="54">
        <v>12</v>
      </c>
      <c r="L40" s="3"/>
    </row>
    <row r="41" spans="1:12" ht="14.5" thickBot="1" x14ac:dyDescent="0.35">
      <c r="A41" s="82">
        <v>45688</v>
      </c>
      <c r="B41" s="54" t="s">
        <v>40</v>
      </c>
      <c r="C41" s="49" t="s">
        <v>230</v>
      </c>
      <c r="D41" s="82">
        <v>45646</v>
      </c>
      <c r="E41" s="3">
        <v>150</v>
      </c>
      <c r="F41" s="3">
        <v>55</v>
      </c>
      <c r="G41" s="54"/>
      <c r="H41" s="3">
        <v>24</v>
      </c>
      <c r="I41" s="49">
        <v>99.9</v>
      </c>
      <c r="J41" s="3" t="s">
        <v>224</v>
      </c>
      <c r="K41" s="54">
        <v>17</v>
      </c>
      <c r="L41" s="3"/>
    </row>
    <row r="42" spans="1:12" ht="14.5" thickBot="1" x14ac:dyDescent="0.35">
      <c r="A42" s="82">
        <v>45690</v>
      </c>
      <c r="B42" s="54" t="s">
        <v>40</v>
      </c>
      <c r="C42" s="49" t="s">
        <v>230</v>
      </c>
      <c r="D42" s="82">
        <v>45646</v>
      </c>
      <c r="E42" s="3">
        <v>150</v>
      </c>
      <c r="F42" s="3">
        <v>60</v>
      </c>
      <c r="G42" s="54"/>
      <c r="H42" s="3">
        <v>24</v>
      </c>
      <c r="I42" s="49">
        <v>99.9</v>
      </c>
      <c r="J42" s="3" t="s">
        <v>192</v>
      </c>
      <c r="K42" s="54">
        <v>17</v>
      </c>
      <c r="L42" s="3"/>
    </row>
    <row r="43" spans="1:12" ht="14.5" thickBot="1" x14ac:dyDescent="0.35">
      <c r="A43" s="82">
        <v>45690</v>
      </c>
      <c r="B43" s="54" t="s">
        <v>40</v>
      </c>
      <c r="C43" s="49" t="s">
        <v>230</v>
      </c>
      <c r="D43" s="82">
        <v>45646</v>
      </c>
      <c r="E43" s="3">
        <v>150</v>
      </c>
      <c r="F43" s="3">
        <v>67</v>
      </c>
      <c r="G43" s="54"/>
      <c r="H43" s="3">
        <v>20</v>
      </c>
      <c r="I43" s="49">
        <v>99.9</v>
      </c>
      <c r="J43" s="3" t="s">
        <v>225</v>
      </c>
      <c r="K43" s="54">
        <v>17</v>
      </c>
      <c r="L43" s="3"/>
    </row>
    <row r="44" spans="1:12" ht="14.5" thickBot="1" x14ac:dyDescent="0.35">
      <c r="A44" s="82">
        <v>45691</v>
      </c>
      <c r="B44" s="54" t="s">
        <v>40</v>
      </c>
      <c r="C44" s="49" t="s">
        <v>230</v>
      </c>
      <c r="D44" s="82">
        <v>45646</v>
      </c>
      <c r="E44" s="3">
        <v>150</v>
      </c>
      <c r="F44" s="3">
        <v>60</v>
      </c>
      <c r="G44" s="54"/>
      <c r="H44" s="3">
        <v>17</v>
      </c>
      <c r="I44" s="49">
        <v>99.9</v>
      </c>
      <c r="J44" s="3" t="s">
        <v>226</v>
      </c>
      <c r="K44" s="54">
        <v>17</v>
      </c>
      <c r="L44" s="3"/>
    </row>
    <row r="45" spans="1:12" ht="14.5" thickBot="1" x14ac:dyDescent="0.35">
      <c r="A45" s="82">
        <v>45691</v>
      </c>
      <c r="B45" s="54" t="s">
        <v>40</v>
      </c>
      <c r="C45" s="49" t="s">
        <v>230</v>
      </c>
      <c r="D45" s="82">
        <v>45646</v>
      </c>
      <c r="E45" s="3">
        <v>150</v>
      </c>
      <c r="F45" s="3">
        <v>73</v>
      </c>
      <c r="G45" s="54"/>
      <c r="H45" s="3">
        <v>24</v>
      </c>
      <c r="I45" s="49">
        <v>99.9</v>
      </c>
      <c r="J45" s="3" t="s">
        <v>227</v>
      </c>
      <c r="K45" s="54">
        <v>17</v>
      </c>
      <c r="L45" s="3"/>
    </row>
    <row r="46" spans="1:12" ht="14.5" thickBot="1" x14ac:dyDescent="0.35">
      <c r="A46" s="82">
        <v>45692</v>
      </c>
      <c r="B46" s="54" t="s">
        <v>40</v>
      </c>
      <c r="C46" s="49" t="s">
        <v>230</v>
      </c>
      <c r="D46" s="82">
        <v>45646</v>
      </c>
      <c r="E46" s="3">
        <v>150</v>
      </c>
      <c r="F46" s="3">
        <v>74</v>
      </c>
      <c r="G46" s="54"/>
      <c r="H46" s="3">
        <v>19</v>
      </c>
      <c r="I46" s="49">
        <v>99.9</v>
      </c>
      <c r="J46" s="3" t="s">
        <v>20</v>
      </c>
      <c r="K46" s="54">
        <v>20</v>
      </c>
      <c r="L46" s="3"/>
    </row>
    <row r="47" spans="1:12" ht="14.5" thickBot="1" x14ac:dyDescent="0.35">
      <c r="A47" s="82">
        <v>45692</v>
      </c>
      <c r="B47" s="54" t="s">
        <v>228</v>
      </c>
      <c r="C47" s="88" t="s">
        <v>231</v>
      </c>
      <c r="D47" s="3" t="s">
        <v>19</v>
      </c>
      <c r="E47" s="3" t="s">
        <v>19</v>
      </c>
      <c r="F47" s="3" t="s">
        <v>19</v>
      </c>
      <c r="G47" s="54"/>
      <c r="H47" s="3" t="s">
        <v>19</v>
      </c>
      <c r="I47" s="49">
        <v>99.9</v>
      </c>
      <c r="J47" s="3" t="s">
        <v>232</v>
      </c>
      <c r="K47" s="54" t="s">
        <v>19</v>
      </c>
      <c r="L47" s="3"/>
    </row>
    <row r="48" spans="1:12" ht="14.5" thickBot="1" x14ac:dyDescent="0.35">
      <c r="A48" s="82">
        <v>45693</v>
      </c>
      <c r="B48" s="54" t="s">
        <v>40</v>
      </c>
      <c r="C48" s="49" t="s">
        <v>230</v>
      </c>
      <c r="D48" s="82">
        <v>45651</v>
      </c>
      <c r="E48" s="3">
        <v>100</v>
      </c>
      <c r="F48" s="3">
        <v>55</v>
      </c>
      <c r="G48" s="54"/>
      <c r="H48" s="3">
        <v>20</v>
      </c>
      <c r="I48" s="49">
        <v>99.9</v>
      </c>
      <c r="J48" s="3" t="s">
        <v>192</v>
      </c>
      <c r="K48" s="54">
        <v>12</v>
      </c>
      <c r="L48" s="3"/>
    </row>
    <row r="49" spans="1:12" ht="14.5" thickBot="1" x14ac:dyDescent="0.35">
      <c r="A49" s="82">
        <v>45694</v>
      </c>
      <c r="B49" s="54" t="s">
        <v>40</v>
      </c>
      <c r="C49" s="49" t="s">
        <v>230</v>
      </c>
      <c r="D49" s="82">
        <v>45651</v>
      </c>
      <c r="E49" s="3">
        <v>150</v>
      </c>
      <c r="F49" s="3">
        <v>57</v>
      </c>
      <c r="G49" s="54"/>
      <c r="H49" s="3">
        <v>20</v>
      </c>
      <c r="I49" s="49">
        <v>99.9</v>
      </c>
      <c r="J49" s="3" t="s">
        <v>189</v>
      </c>
      <c r="K49" s="54">
        <v>17</v>
      </c>
      <c r="L49" s="3"/>
    </row>
    <row r="50" spans="1:12" ht="14.5" thickBot="1" x14ac:dyDescent="0.35">
      <c r="A50" s="82">
        <v>45694</v>
      </c>
      <c r="B50" s="54" t="s">
        <v>40</v>
      </c>
      <c r="C50" s="49" t="s">
        <v>230</v>
      </c>
      <c r="D50" s="82">
        <v>45651</v>
      </c>
      <c r="E50" s="3">
        <v>150</v>
      </c>
      <c r="F50" s="3">
        <v>70</v>
      </c>
      <c r="G50" s="54"/>
      <c r="H50" s="3">
        <v>19</v>
      </c>
      <c r="I50" s="49">
        <v>99.9</v>
      </c>
      <c r="J50" s="3" t="s">
        <v>233</v>
      </c>
      <c r="K50" s="54">
        <v>20</v>
      </c>
      <c r="L50" s="3"/>
    </row>
    <row r="51" spans="1:12" ht="14.5" thickBot="1" x14ac:dyDescent="0.35">
      <c r="A51" s="82">
        <v>45695</v>
      </c>
      <c r="B51" s="54" t="s">
        <v>40</v>
      </c>
      <c r="C51" s="49" t="s">
        <v>230</v>
      </c>
      <c r="D51" s="82">
        <v>45657</v>
      </c>
      <c r="E51" s="3">
        <v>150</v>
      </c>
      <c r="F51" s="3">
        <v>67</v>
      </c>
      <c r="G51" s="54"/>
      <c r="H51" s="3">
        <v>19</v>
      </c>
      <c r="I51" s="49">
        <v>99.9</v>
      </c>
      <c r="J51" s="3" t="s">
        <v>234</v>
      </c>
      <c r="K51" s="54">
        <v>20</v>
      </c>
      <c r="L51" s="3"/>
    </row>
    <row r="52" spans="1:12" ht="14.5" thickBot="1" x14ac:dyDescent="0.35">
      <c r="A52" s="82">
        <v>45697</v>
      </c>
      <c r="B52" s="54" t="s">
        <v>40</v>
      </c>
      <c r="C52" s="49" t="s">
        <v>230</v>
      </c>
      <c r="D52" s="82">
        <v>45657</v>
      </c>
      <c r="E52" s="3">
        <v>150</v>
      </c>
      <c r="F52" s="3">
        <v>64</v>
      </c>
      <c r="G52" s="54"/>
      <c r="H52" s="54">
        <v>20</v>
      </c>
      <c r="I52" s="49">
        <v>99.9</v>
      </c>
      <c r="J52" s="3" t="s">
        <v>235</v>
      </c>
      <c r="K52" s="54">
        <v>14</v>
      </c>
      <c r="L52" s="3"/>
    </row>
    <row r="53" spans="1:12" ht="14.5" thickBot="1" x14ac:dyDescent="0.35">
      <c r="A53" s="82">
        <v>45698</v>
      </c>
      <c r="B53" s="54" t="s">
        <v>40</v>
      </c>
      <c r="C53" s="49" t="s">
        <v>230</v>
      </c>
      <c r="D53" s="82">
        <v>45657</v>
      </c>
      <c r="E53" s="3">
        <v>140</v>
      </c>
      <c r="F53" s="3">
        <v>63</v>
      </c>
      <c r="G53" s="54"/>
      <c r="H53" s="3">
        <v>23</v>
      </c>
      <c r="I53" s="49">
        <v>99.9</v>
      </c>
      <c r="J53" s="3" t="s">
        <v>236</v>
      </c>
      <c r="K53" s="54">
        <v>12</v>
      </c>
      <c r="L53" s="3"/>
    </row>
    <row r="54" spans="1:12" ht="14.5" thickBot="1" x14ac:dyDescent="0.35">
      <c r="A54" s="82">
        <v>45698</v>
      </c>
      <c r="B54" s="54" t="s">
        <v>40</v>
      </c>
      <c r="C54" s="49" t="s">
        <v>230</v>
      </c>
      <c r="D54" s="82">
        <v>45657</v>
      </c>
      <c r="E54" s="3">
        <v>140</v>
      </c>
      <c r="F54" s="3">
        <v>68</v>
      </c>
      <c r="G54" s="54"/>
      <c r="H54" s="3">
        <v>23</v>
      </c>
      <c r="I54" s="49">
        <v>99.9</v>
      </c>
      <c r="J54" s="3" t="s">
        <v>227</v>
      </c>
      <c r="K54" s="54">
        <v>15</v>
      </c>
      <c r="L54" s="3"/>
    </row>
    <row r="55" spans="1:12" ht="14.5" thickBot="1" x14ac:dyDescent="0.35">
      <c r="A55" s="82">
        <v>45699</v>
      </c>
      <c r="B55" s="54" t="s">
        <v>40</v>
      </c>
      <c r="C55" s="49" t="s">
        <v>230</v>
      </c>
      <c r="D55" s="82">
        <v>45657</v>
      </c>
      <c r="E55" s="3">
        <v>140</v>
      </c>
      <c r="F55" s="3">
        <v>65</v>
      </c>
      <c r="G55" s="54"/>
      <c r="H55" s="3">
        <v>25</v>
      </c>
      <c r="I55" s="49">
        <v>99.9</v>
      </c>
      <c r="J55" s="3" t="s">
        <v>237</v>
      </c>
      <c r="K55" s="54">
        <v>15</v>
      </c>
      <c r="L55" s="3"/>
    </row>
    <row r="56" spans="1:12" ht="14.5" thickBot="1" x14ac:dyDescent="0.35">
      <c r="A56" s="82">
        <v>45699</v>
      </c>
      <c r="B56" s="54" t="s">
        <v>40</v>
      </c>
      <c r="C56" s="49" t="s">
        <v>230</v>
      </c>
      <c r="D56" s="82">
        <v>45657</v>
      </c>
      <c r="E56" s="3">
        <v>140</v>
      </c>
      <c r="F56" s="3">
        <v>64</v>
      </c>
      <c r="G56" s="54"/>
      <c r="H56" s="3">
        <v>21</v>
      </c>
      <c r="I56" s="49">
        <v>99.9</v>
      </c>
      <c r="J56" s="3" t="s">
        <v>238</v>
      </c>
      <c r="K56" s="54">
        <v>22</v>
      </c>
      <c r="L56" s="3"/>
    </row>
    <row r="57" spans="1:12" ht="14.5" thickBot="1" x14ac:dyDescent="0.35">
      <c r="A57" s="82">
        <v>45700</v>
      </c>
      <c r="B57" s="54" t="s">
        <v>33</v>
      </c>
      <c r="C57" s="49" t="s">
        <v>230</v>
      </c>
      <c r="D57" s="3" t="s">
        <v>19</v>
      </c>
      <c r="E57" s="3" t="s">
        <v>19</v>
      </c>
      <c r="F57" s="3">
        <v>55</v>
      </c>
      <c r="G57" s="54"/>
      <c r="H57" s="3">
        <v>20</v>
      </c>
      <c r="I57" s="49">
        <v>99.9</v>
      </c>
      <c r="J57" s="3" t="s">
        <v>243</v>
      </c>
      <c r="K57" s="54">
        <v>10</v>
      </c>
      <c r="L57" s="3"/>
    </row>
    <row r="58" spans="1:12" ht="14.5" thickBot="1" x14ac:dyDescent="0.35">
      <c r="A58" s="82">
        <v>45701</v>
      </c>
      <c r="B58" s="54" t="s">
        <v>177</v>
      </c>
      <c r="C58" s="49" t="s">
        <v>230</v>
      </c>
      <c r="D58" s="3" t="s">
        <v>19</v>
      </c>
      <c r="E58" s="3" t="s">
        <v>19</v>
      </c>
      <c r="F58" s="3">
        <v>55</v>
      </c>
      <c r="G58" s="54"/>
      <c r="H58" s="3">
        <v>24</v>
      </c>
      <c r="I58" s="49">
        <v>99.9</v>
      </c>
      <c r="J58" s="3" t="s">
        <v>248</v>
      </c>
      <c r="K58" s="54">
        <v>11</v>
      </c>
      <c r="L58" s="3"/>
    </row>
    <row r="59" spans="1:12" ht="14.5" thickBot="1" x14ac:dyDescent="0.35">
      <c r="A59" s="82">
        <v>45702</v>
      </c>
      <c r="B59" s="54" t="s">
        <v>40</v>
      </c>
      <c r="C59" s="49" t="s">
        <v>230</v>
      </c>
      <c r="D59" s="82">
        <v>45657</v>
      </c>
      <c r="E59" s="3">
        <v>140</v>
      </c>
      <c r="F59" s="3">
        <v>74</v>
      </c>
      <c r="G59" s="54"/>
      <c r="H59" s="3">
        <v>20</v>
      </c>
      <c r="I59" s="49">
        <v>99.9</v>
      </c>
      <c r="J59" s="3" t="s">
        <v>249</v>
      </c>
      <c r="K59" s="54">
        <v>22</v>
      </c>
      <c r="L59" s="3"/>
    </row>
    <row r="60" spans="1:12" ht="14.5" thickBot="1" x14ac:dyDescent="0.35">
      <c r="A60" s="82">
        <v>45704</v>
      </c>
      <c r="B60" s="54" t="s">
        <v>40</v>
      </c>
      <c r="C60" s="49" t="s">
        <v>230</v>
      </c>
      <c r="D60" s="82">
        <v>45662</v>
      </c>
      <c r="E60" s="3">
        <v>150</v>
      </c>
      <c r="F60" s="3">
        <v>71</v>
      </c>
      <c r="G60" s="54"/>
      <c r="H60" s="3">
        <v>23</v>
      </c>
      <c r="I60" s="49">
        <v>99.9</v>
      </c>
      <c r="J60" s="3" t="s">
        <v>206</v>
      </c>
      <c r="K60" s="54">
        <v>20</v>
      </c>
      <c r="L60" s="3"/>
    </row>
    <row r="61" spans="1:12" ht="14.5" thickBot="1" x14ac:dyDescent="0.35">
      <c r="A61" s="82">
        <v>45705</v>
      </c>
      <c r="B61" s="54" t="s">
        <v>40</v>
      </c>
      <c r="C61" s="49" t="s">
        <v>230</v>
      </c>
      <c r="D61" s="82">
        <v>45662</v>
      </c>
      <c r="E61" s="3">
        <v>150</v>
      </c>
      <c r="F61" s="3">
        <v>65</v>
      </c>
      <c r="G61" s="54"/>
      <c r="H61" s="3">
        <v>20</v>
      </c>
      <c r="I61" s="49">
        <v>99.9</v>
      </c>
      <c r="J61" s="3" t="s">
        <v>192</v>
      </c>
      <c r="K61" s="54">
        <v>17</v>
      </c>
      <c r="L61" s="3"/>
    </row>
    <row r="62" spans="1:12" ht="14.5" thickBot="1" x14ac:dyDescent="0.35">
      <c r="A62" s="82">
        <v>45706</v>
      </c>
      <c r="B62" s="54" t="s">
        <v>40</v>
      </c>
      <c r="C62" s="49" t="s">
        <v>230</v>
      </c>
      <c r="D62" s="82">
        <v>45662</v>
      </c>
      <c r="E62" s="3">
        <v>150</v>
      </c>
      <c r="F62" s="3">
        <v>63</v>
      </c>
      <c r="G62" s="54"/>
      <c r="H62" s="3">
        <v>20</v>
      </c>
      <c r="I62" s="49">
        <v>99.9</v>
      </c>
      <c r="J62" s="3" t="s">
        <v>189</v>
      </c>
      <c r="K62" s="54">
        <v>21</v>
      </c>
      <c r="L62" s="3"/>
    </row>
    <row r="63" spans="1:12" ht="14.5" thickBot="1" x14ac:dyDescent="0.35">
      <c r="A63" s="82">
        <v>45708</v>
      </c>
      <c r="B63" s="54" t="s">
        <v>40</v>
      </c>
      <c r="C63" s="49" t="s">
        <v>230</v>
      </c>
      <c r="D63" s="3" t="s">
        <v>19</v>
      </c>
      <c r="E63" s="3" t="s">
        <v>19</v>
      </c>
      <c r="F63" s="3">
        <v>55</v>
      </c>
      <c r="G63" s="54"/>
      <c r="H63" s="3">
        <v>19</v>
      </c>
      <c r="I63" s="49">
        <v>99.9</v>
      </c>
      <c r="J63" s="3" t="s">
        <v>248</v>
      </c>
      <c r="K63" s="54">
        <v>11</v>
      </c>
      <c r="L63" s="3"/>
    </row>
    <row r="64" spans="1:12" ht="14.5" thickBot="1" x14ac:dyDescent="0.35">
      <c r="A64" s="82">
        <v>45711</v>
      </c>
      <c r="B64" s="54" t="s">
        <v>40</v>
      </c>
      <c r="C64" s="49" t="s">
        <v>230</v>
      </c>
      <c r="D64" s="82">
        <v>45662</v>
      </c>
      <c r="E64" s="3">
        <v>50</v>
      </c>
      <c r="F64" s="3"/>
      <c r="G64" s="54"/>
      <c r="H64" s="3"/>
      <c r="I64" s="49">
        <v>99.9</v>
      </c>
      <c r="J64" s="3"/>
      <c r="K64" s="54"/>
      <c r="L64" s="3"/>
    </row>
    <row r="65" spans="1:12" ht="14.5" thickBot="1" x14ac:dyDescent="0.35">
      <c r="A65" s="82">
        <v>45711</v>
      </c>
      <c r="B65" s="54" t="s">
        <v>40</v>
      </c>
      <c r="C65" s="49" t="s">
        <v>230</v>
      </c>
      <c r="D65" s="82">
        <v>45669</v>
      </c>
      <c r="E65" s="3">
        <v>100</v>
      </c>
      <c r="F65" s="3">
        <v>67</v>
      </c>
      <c r="G65" s="54"/>
      <c r="H65" s="3">
        <v>22</v>
      </c>
      <c r="I65" s="49">
        <v>99.9</v>
      </c>
      <c r="J65" s="3" t="s">
        <v>256</v>
      </c>
      <c r="K65" s="54">
        <v>20</v>
      </c>
      <c r="L65" s="3"/>
    </row>
    <row r="66" spans="1:12" ht="14.5" thickBot="1" x14ac:dyDescent="0.35">
      <c r="A66" s="82">
        <v>45712</v>
      </c>
      <c r="B66" s="54" t="s">
        <v>40</v>
      </c>
      <c r="C66" s="49" t="s">
        <v>230</v>
      </c>
      <c r="D66" s="82">
        <v>45669</v>
      </c>
      <c r="E66" s="3">
        <v>150</v>
      </c>
      <c r="F66" s="3">
        <v>65</v>
      </c>
      <c r="G66" s="54"/>
      <c r="H66" s="3">
        <v>20</v>
      </c>
      <c r="I66" s="49">
        <v>99.9</v>
      </c>
      <c r="J66" s="3" t="s">
        <v>257</v>
      </c>
      <c r="K66" s="54">
        <v>24</v>
      </c>
      <c r="L66" s="3"/>
    </row>
    <row r="67" spans="1:12" ht="14.5" thickBot="1" x14ac:dyDescent="0.35">
      <c r="A67" s="82">
        <v>45713</v>
      </c>
      <c r="B67" s="54" t="s">
        <v>40</v>
      </c>
      <c r="C67" s="49" t="s">
        <v>230</v>
      </c>
      <c r="D67" s="82">
        <v>45669</v>
      </c>
      <c r="E67" s="3">
        <v>150</v>
      </c>
      <c r="F67" s="3">
        <v>55</v>
      </c>
      <c r="G67" s="54"/>
      <c r="H67" s="3">
        <v>19</v>
      </c>
      <c r="I67" s="49">
        <v>99.9</v>
      </c>
      <c r="J67" s="3" t="s">
        <v>192</v>
      </c>
      <c r="K67" s="54">
        <v>15</v>
      </c>
      <c r="L67" s="3"/>
    </row>
    <row r="68" spans="1:12" ht="14.5" thickBot="1" x14ac:dyDescent="0.35">
      <c r="A68" s="82">
        <v>45714</v>
      </c>
      <c r="B68" s="54" t="s">
        <v>40</v>
      </c>
      <c r="C68" s="49" t="s">
        <v>230</v>
      </c>
      <c r="D68" s="82">
        <v>45669</v>
      </c>
      <c r="E68" s="3">
        <v>150</v>
      </c>
      <c r="F68" s="3">
        <v>54</v>
      </c>
      <c r="G68" s="54"/>
      <c r="H68" s="3">
        <v>18</v>
      </c>
      <c r="I68" s="49">
        <v>99.9</v>
      </c>
      <c r="J68" s="3" t="s">
        <v>163</v>
      </c>
      <c r="K68" s="54">
        <v>14</v>
      </c>
      <c r="L68" s="3"/>
    </row>
    <row r="69" spans="1:12" ht="14.5" thickBot="1" x14ac:dyDescent="0.35">
      <c r="A69" s="82">
        <v>45715</v>
      </c>
      <c r="B69" s="54" t="s">
        <v>40</v>
      </c>
      <c r="C69" s="49" t="s">
        <v>230</v>
      </c>
      <c r="D69" s="82">
        <v>45669</v>
      </c>
      <c r="E69" s="3">
        <v>150</v>
      </c>
      <c r="F69" s="3">
        <v>60</v>
      </c>
      <c r="G69" s="54"/>
      <c r="H69" s="3">
        <v>20</v>
      </c>
      <c r="I69" s="49">
        <v>99.9</v>
      </c>
      <c r="J69" s="3" t="s">
        <v>249</v>
      </c>
      <c r="K69" s="54">
        <v>15</v>
      </c>
      <c r="L69" s="3"/>
    </row>
    <row r="70" spans="1:12" ht="14.5" thickBot="1" x14ac:dyDescent="0.35">
      <c r="A70" s="82">
        <v>45716</v>
      </c>
      <c r="B70" s="54" t="s">
        <v>40</v>
      </c>
      <c r="C70" s="49" t="s">
        <v>230</v>
      </c>
      <c r="D70" s="82">
        <v>45669</v>
      </c>
      <c r="E70" s="3">
        <v>150</v>
      </c>
      <c r="F70" s="3">
        <v>55</v>
      </c>
      <c r="G70" s="54"/>
      <c r="H70" s="3">
        <v>21</v>
      </c>
      <c r="I70" s="49">
        <v>99.9</v>
      </c>
      <c r="J70" s="3" t="s">
        <v>258</v>
      </c>
      <c r="K70" s="54">
        <v>20</v>
      </c>
      <c r="L70" s="3"/>
    </row>
    <row r="71" spans="1:12" ht="14.5" thickBot="1" x14ac:dyDescent="0.35">
      <c r="A71" s="82">
        <v>45718</v>
      </c>
      <c r="B71" s="54" t="s">
        <v>39</v>
      </c>
      <c r="C71" s="49" t="s">
        <v>230</v>
      </c>
      <c r="D71" s="3" t="s">
        <v>19</v>
      </c>
      <c r="E71" s="3" t="s">
        <v>19</v>
      </c>
      <c r="F71" s="3">
        <v>55</v>
      </c>
      <c r="G71" s="54"/>
      <c r="H71" s="3">
        <v>20</v>
      </c>
      <c r="I71" s="49">
        <v>99.9</v>
      </c>
      <c r="J71" s="3" t="s">
        <v>264</v>
      </c>
      <c r="K71" s="54">
        <v>10</v>
      </c>
      <c r="L71" s="3"/>
    </row>
    <row r="72" spans="1:12" ht="14.5" thickBot="1" x14ac:dyDescent="0.35">
      <c r="A72" s="82">
        <v>45719</v>
      </c>
      <c r="B72" s="54" t="s">
        <v>40</v>
      </c>
      <c r="C72" s="49" t="s">
        <v>230</v>
      </c>
      <c r="D72" s="82">
        <v>45669</v>
      </c>
      <c r="E72" s="3">
        <v>150</v>
      </c>
      <c r="F72" s="3">
        <v>68</v>
      </c>
      <c r="G72" s="54"/>
      <c r="H72" s="3">
        <v>20</v>
      </c>
      <c r="I72" s="49">
        <v>99.9</v>
      </c>
      <c r="J72" s="3" t="s">
        <v>267</v>
      </c>
      <c r="K72" s="54">
        <v>20</v>
      </c>
      <c r="L72" s="3"/>
    </row>
    <row r="73" spans="1:12" ht="14.5" thickBot="1" x14ac:dyDescent="0.35">
      <c r="A73" s="82">
        <v>45720</v>
      </c>
      <c r="B73" s="54" t="s">
        <v>40</v>
      </c>
      <c r="C73" s="49" t="s">
        <v>230</v>
      </c>
      <c r="D73" s="82">
        <v>45676</v>
      </c>
      <c r="E73" s="3">
        <v>150</v>
      </c>
      <c r="F73" s="3">
        <v>58</v>
      </c>
      <c r="G73" s="54"/>
      <c r="H73" s="3">
        <v>21</v>
      </c>
      <c r="I73" s="49">
        <v>99.9</v>
      </c>
      <c r="J73" s="3" t="s">
        <v>268</v>
      </c>
      <c r="K73" s="54">
        <v>15</v>
      </c>
      <c r="L73" s="3"/>
    </row>
    <row r="74" spans="1:12" ht="14.5" thickBot="1" x14ac:dyDescent="0.35">
      <c r="A74" s="2">
        <v>45721</v>
      </c>
      <c r="B74" s="54" t="s">
        <v>40</v>
      </c>
      <c r="C74" s="49" t="s">
        <v>230</v>
      </c>
      <c r="D74" s="82">
        <v>45676</v>
      </c>
      <c r="E74" s="3">
        <v>150</v>
      </c>
      <c r="F74" s="3">
        <v>60</v>
      </c>
      <c r="G74" s="54"/>
      <c r="H74" s="3">
        <v>20</v>
      </c>
      <c r="I74" s="49">
        <v>99.9</v>
      </c>
      <c r="J74" s="3" t="s">
        <v>189</v>
      </c>
      <c r="K74" s="54">
        <v>19</v>
      </c>
      <c r="L74" s="3"/>
    </row>
    <row r="75" spans="1:12" ht="14.5" thickBot="1" x14ac:dyDescent="0.35">
      <c r="A75" s="2">
        <v>45721</v>
      </c>
      <c r="B75" s="54" t="s">
        <v>40</v>
      </c>
      <c r="C75" s="88" t="s">
        <v>231</v>
      </c>
      <c r="D75" s="82">
        <v>45676</v>
      </c>
      <c r="E75" s="3" t="s">
        <v>19</v>
      </c>
      <c r="F75" t="s">
        <v>265</v>
      </c>
      <c r="H75" s="3" t="s">
        <v>19</v>
      </c>
      <c r="I75" s="49">
        <v>99.9</v>
      </c>
      <c r="J75" t="s">
        <v>266</v>
      </c>
      <c r="K75" s="54">
        <v>0</v>
      </c>
      <c r="L75" s="3"/>
    </row>
    <row r="76" spans="1:12" ht="14.5" thickBot="1" x14ac:dyDescent="0.35">
      <c r="A76" s="82">
        <v>45722</v>
      </c>
      <c r="B76" s="54" t="s">
        <v>40</v>
      </c>
      <c r="C76" s="49" t="s">
        <v>230</v>
      </c>
      <c r="D76" s="82">
        <v>45676</v>
      </c>
      <c r="E76" s="3">
        <v>150</v>
      </c>
      <c r="F76" s="3">
        <v>54</v>
      </c>
      <c r="G76" s="54"/>
      <c r="H76" s="3">
        <v>25</v>
      </c>
      <c r="I76" s="49">
        <v>99.9</v>
      </c>
      <c r="J76" s="3" t="s">
        <v>269</v>
      </c>
      <c r="K76" s="54">
        <v>15</v>
      </c>
      <c r="L76" s="3"/>
    </row>
    <row r="77" spans="1:12" ht="14.5" thickBot="1" x14ac:dyDescent="0.35">
      <c r="A77" s="82">
        <v>45723</v>
      </c>
      <c r="B77" s="54" t="s">
        <v>40</v>
      </c>
      <c r="C77" s="49" t="s">
        <v>230</v>
      </c>
      <c r="D77" s="82">
        <v>45676</v>
      </c>
      <c r="E77" s="3">
        <v>150</v>
      </c>
      <c r="F77" s="3">
        <v>50</v>
      </c>
      <c r="G77" s="54"/>
      <c r="H77" s="3">
        <v>20</v>
      </c>
      <c r="I77" s="49">
        <v>99.9</v>
      </c>
      <c r="J77" s="3" t="s">
        <v>270</v>
      </c>
      <c r="K77" s="54">
        <v>10</v>
      </c>
      <c r="L77" s="3"/>
    </row>
    <row r="78" spans="1:12" ht="14.5" thickBot="1" x14ac:dyDescent="0.35">
      <c r="A78" s="82">
        <v>45725</v>
      </c>
      <c r="B78" s="54" t="s">
        <v>40</v>
      </c>
      <c r="C78" s="49" t="s">
        <v>230</v>
      </c>
      <c r="D78" s="82">
        <v>45676</v>
      </c>
      <c r="E78" s="3">
        <v>150</v>
      </c>
      <c r="F78" s="3">
        <v>68</v>
      </c>
      <c r="G78" s="54"/>
      <c r="H78" s="3">
        <v>20</v>
      </c>
      <c r="I78" s="49">
        <v>99.9</v>
      </c>
      <c r="J78" s="3" t="s">
        <v>249</v>
      </c>
      <c r="K78" s="54">
        <v>20</v>
      </c>
      <c r="L78" s="3"/>
    </row>
    <row r="79" spans="1:12" ht="14.5" thickBot="1" x14ac:dyDescent="0.35">
      <c r="A79" s="82">
        <v>45726</v>
      </c>
      <c r="B79" s="54" t="s">
        <v>40</v>
      </c>
      <c r="C79" s="49" t="s">
        <v>230</v>
      </c>
      <c r="D79" s="82">
        <v>45676</v>
      </c>
      <c r="E79" s="3">
        <v>150</v>
      </c>
      <c r="F79" s="3">
        <v>69</v>
      </c>
      <c r="G79" s="54"/>
      <c r="H79" s="3"/>
      <c r="I79" s="49">
        <v>99.9</v>
      </c>
      <c r="J79" s="3"/>
      <c r="K79" s="54"/>
      <c r="L79" s="3" t="s">
        <v>271</v>
      </c>
    </row>
    <row r="80" spans="1:12" ht="14.5" thickBot="1" x14ac:dyDescent="0.35">
      <c r="A80" s="82">
        <v>45726</v>
      </c>
      <c r="B80" s="54" t="s">
        <v>40</v>
      </c>
      <c r="C80" s="49" t="s">
        <v>230</v>
      </c>
      <c r="D80" s="82">
        <v>45684</v>
      </c>
      <c r="E80" s="3">
        <v>150</v>
      </c>
      <c r="F80" s="3">
        <v>65</v>
      </c>
      <c r="G80" s="54"/>
      <c r="H80" s="3">
        <v>20</v>
      </c>
      <c r="I80" s="49">
        <v>99.9</v>
      </c>
      <c r="J80" s="3" t="s">
        <v>272</v>
      </c>
      <c r="K80" s="54">
        <v>18</v>
      </c>
      <c r="L80" s="3"/>
    </row>
    <row r="81" spans="1:12" ht="14.5" thickBot="1" x14ac:dyDescent="0.35">
      <c r="A81" s="82">
        <v>45727</v>
      </c>
      <c r="B81" s="54" t="s">
        <v>40</v>
      </c>
      <c r="C81" s="49" t="s">
        <v>230</v>
      </c>
      <c r="D81" s="82">
        <v>45684</v>
      </c>
      <c r="E81" s="3">
        <v>150</v>
      </c>
      <c r="F81" s="3">
        <v>56</v>
      </c>
      <c r="G81" s="54"/>
      <c r="H81" s="3">
        <v>20</v>
      </c>
      <c r="I81" s="49">
        <v>99.9</v>
      </c>
      <c r="J81" s="3" t="s">
        <v>273</v>
      </c>
      <c r="K81" s="54">
        <v>16</v>
      </c>
      <c r="L81" s="3"/>
    </row>
    <row r="82" spans="1:12" ht="14.5" thickBot="1" x14ac:dyDescent="0.35">
      <c r="A82" s="82">
        <v>45727</v>
      </c>
      <c r="B82" s="54" t="s">
        <v>40</v>
      </c>
      <c r="C82" s="49" t="s">
        <v>230</v>
      </c>
      <c r="D82" s="82">
        <v>45684</v>
      </c>
      <c r="E82" s="3">
        <v>140</v>
      </c>
      <c r="F82" s="3">
        <v>59</v>
      </c>
      <c r="G82" s="54"/>
      <c r="H82" s="3"/>
      <c r="I82" s="49">
        <v>99.9</v>
      </c>
      <c r="J82" s="3" t="s">
        <v>274</v>
      </c>
      <c r="K82" s="54">
        <v>19</v>
      </c>
      <c r="L82" s="3"/>
    </row>
    <row r="83" spans="1:12" ht="14.5" thickBot="1" x14ac:dyDescent="0.35">
      <c r="A83" s="82">
        <v>45728</v>
      </c>
      <c r="B83" s="54" t="s">
        <v>40</v>
      </c>
      <c r="C83" s="49" t="s">
        <v>230</v>
      </c>
      <c r="D83" s="82">
        <v>45684</v>
      </c>
      <c r="E83" s="3">
        <v>140</v>
      </c>
      <c r="F83" s="3">
        <v>63</v>
      </c>
      <c r="G83" s="54"/>
      <c r="H83" s="3">
        <v>20</v>
      </c>
      <c r="I83" s="49">
        <v>99.9</v>
      </c>
      <c r="J83" s="3"/>
      <c r="K83" s="54">
        <v>17</v>
      </c>
      <c r="L83" s="3"/>
    </row>
    <row r="84" spans="1:12" ht="14.5" thickBot="1" x14ac:dyDescent="0.35">
      <c r="A84" s="82">
        <v>45729</v>
      </c>
      <c r="B84" s="54" t="s">
        <v>177</v>
      </c>
      <c r="C84" s="49" t="s">
        <v>230</v>
      </c>
      <c r="D84" s="3" t="s">
        <v>19</v>
      </c>
      <c r="E84" s="3" t="s">
        <v>19</v>
      </c>
      <c r="F84" s="3">
        <v>55</v>
      </c>
      <c r="G84" s="54"/>
      <c r="H84" s="3">
        <v>20</v>
      </c>
      <c r="I84" s="49">
        <v>99.9</v>
      </c>
      <c r="J84" s="3" t="s">
        <v>275</v>
      </c>
      <c r="K84" s="54">
        <v>12</v>
      </c>
      <c r="L84" s="3"/>
    </row>
    <row r="85" spans="1:12" ht="14.5" thickBot="1" x14ac:dyDescent="0.35">
      <c r="A85" s="82">
        <v>45730</v>
      </c>
      <c r="B85" s="54" t="s">
        <v>40</v>
      </c>
      <c r="C85" s="49" t="s">
        <v>230</v>
      </c>
      <c r="D85" s="82">
        <v>45684</v>
      </c>
      <c r="E85" s="3">
        <v>140</v>
      </c>
      <c r="F85" s="3">
        <v>65</v>
      </c>
      <c r="G85" s="54"/>
      <c r="H85" s="3">
        <v>25</v>
      </c>
      <c r="I85" s="49">
        <v>99.9</v>
      </c>
      <c r="J85" s="3" t="s">
        <v>186</v>
      </c>
      <c r="K85" s="54">
        <v>17</v>
      </c>
      <c r="L85" s="3"/>
    </row>
    <row r="86" spans="1:12" ht="14.5" thickBot="1" x14ac:dyDescent="0.35">
      <c r="A86" s="82">
        <v>45732</v>
      </c>
      <c r="B86" s="54" t="s">
        <v>40</v>
      </c>
      <c r="C86" s="49" t="s">
        <v>230</v>
      </c>
      <c r="D86" s="82">
        <v>45684</v>
      </c>
      <c r="E86" s="3">
        <v>140</v>
      </c>
      <c r="F86" s="3">
        <v>69</v>
      </c>
      <c r="G86" s="54"/>
      <c r="H86" s="3">
        <v>25</v>
      </c>
      <c r="I86" s="49">
        <v>99.9</v>
      </c>
      <c r="J86" s="3" t="s">
        <v>279</v>
      </c>
      <c r="K86" s="54">
        <v>15</v>
      </c>
      <c r="L86" s="3"/>
    </row>
    <row r="87" spans="1:12" ht="14.5" thickBot="1" x14ac:dyDescent="0.35">
      <c r="A87" s="82">
        <v>45732</v>
      </c>
      <c r="B87" s="54" t="s">
        <v>40</v>
      </c>
      <c r="C87" s="49" t="s">
        <v>230</v>
      </c>
      <c r="D87" s="82">
        <v>45684</v>
      </c>
      <c r="E87" s="3">
        <v>140</v>
      </c>
      <c r="F87" s="3">
        <v>69</v>
      </c>
      <c r="G87" s="54"/>
      <c r="H87" s="3">
        <v>20</v>
      </c>
      <c r="I87" s="49">
        <v>99.9</v>
      </c>
      <c r="J87" s="3" t="s">
        <v>280</v>
      </c>
      <c r="K87" s="54">
        <v>15</v>
      </c>
      <c r="L87" s="3"/>
    </row>
    <row r="88" spans="1:12" ht="14.5" thickBot="1" x14ac:dyDescent="0.35">
      <c r="A88" s="82">
        <v>45733</v>
      </c>
      <c r="B88" s="54" t="s">
        <v>40</v>
      </c>
      <c r="C88" s="49" t="s">
        <v>230</v>
      </c>
      <c r="D88" s="82">
        <v>45692</v>
      </c>
      <c r="E88" s="3">
        <v>150</v>
      </c>
      <c r="F88" s="3">
        <v>74</v>
      </c>
      <c r="G88" s="54"/>
      <c r="H88" s="3">
        <v>21</v>
      </c>
      <c r="I88" s="49">
        <v>99.9</v>
      </c>
      <c r="J88" s="3" t="s">
        <v>237</v>
      </c>
      <c r="K88" s="54">
        <v>20</v>
      </c>
      <c r="L88" s="3"/>
    </row>
    <row r="89" spans="1:12" ht="14.5" thickBot="1" x14ac:dyDescent="0.35">
      <c r="A89" s="82">
        <v>45734</v>
      </c>
      <c r="B89" s="54" t="s">
        <v>40</v>
      </c>
      <c r="C89" s="49" t="s">
        <v>230</v>
      </c>
      <c r="D89" s="82">
        <v>45692</v>
      </c>
      <c r="E89" s="3">
        <v>150</v>
      </c>
      <c r="F89" s="3">
        <v>68</v>
      </c>
      <c r="G89" s="54"/>
      <c r="H89" s="3">
        <v>21</v>
      </c>
      <c r="I89" s="49">
        <v>99.9</v>
      </c>
      <c r="J89" s="3" t="s">
        <v>281</v>
      </c>
      <c r="K89" s="54">
        <v>17</v>
      </c>
      <c r="L89" s="3"/>
    </row>
    <row r="90" spans="1:12" ht="14.5" thickBot="1" x14ac:dyDescent="0.35">
      <c r="A90" s="82">
        <v>45735</v>
      </c>
      <c r="B90" s="54" t="s">
        <v>40</v>
      </c>
      <c r="C90" s="49" t="s">
        <v>230</v>
      </c>
      <c r="D90" s="82">
        <v>45692</v>
      </c>
      <c r="E90" s="3">
        <v>150</v>
      </c>
      <c r="F90" s="3">
        <v>74</v>
      </c>
      <c r="G90" s="54"/>
      <c r="H90" s="3">
        <v>22</v>
      </c>
      <c r="I90" s="49">
        <v>99.9</v>
      </c>
      <c r="J90" s="3" t="s">
        <v>282</v>
      </c>
      <c r="K90" s="54">
        <v>20</v>
      </c>
      <c r="L90" s="3"/>
    </row>
    <row r="91" spans="1:12" ht="14.5" thickBot="1" x14ac:dyDescent="0.35">
      <c r="A91" s="82">
        <v>45736</v>
      </c>
      <c r="B91" s="54" t="s">
        <v>40</v>
      </c>
      <c r="C91" s="49" t="s">
        <v>230</v>
      </c>
      <c r="D91" s="82">
        <v>45692</v>
      </c>
      <c r="E91" s="3">
        <v>150</v>
      </c>
      <c r="F91" s="3">
        <v>64</v>
      </c>
      <c r="G91" s="54"/>
      <c r="H91" s="3">
        <v>21</v>
      </c>
      <c r="I91" s="49">
        <v>99.9</v>
      </c>
      <c r="J91" s="3" t="s">
        <v>283</v>
      </c>
      <c r="K91" s="54">
        <v>21</v>
      </c>
      <c r="L91" s="3"/>
    </row>
    <row r="92" spans="1:12" ht="14.5" thickBot="1" x14ac:dyDescent="0.35">
      <c r="A92" s="82">
        <v>45737</v>
      </c>
      <c r="B92" s="54" t="s">
        <v>40</v>
      </c>
      <c r="C92" s="49" t="s">
        <v>230</v>
      </c>
      <c r="D92" s="82">
        <v>45692</v>
      </c>
      <c r="E92" s="3">
        <v>150</v>
      </c>
      <c r="F92" s="3">
        <v>60</v>
      </c>
      <c r="G92" s="54"/>
      <c r="H92" s="3">
        <v>23</v>
      </c>
      <c r="I92" s="49">
        <v>99.9</v>
      </c>
      <c r="J92" s="3" t="s">
        <v>284</v>
      </c>
      <c r="K92" s="54">
        <v>20</v>
      </c>
      <c r="L92" s="3"/>
    </row>
    <row r="93" spans="1:12" ht="14.5" thickBot="1" x14ac:dyDescent="0.35">
      <c r="A93" s="82">
        <v>45739</v>
      </c>
      <c r="B93" s="54" t="s">
        <v>40</v>
      </c>
      <c r="C93" s="49" t="s">
        <v>230</v>
      </c>
      <c r="D93" s="82">
        <v>45692</v>
      </c>
      <c r="E93" s="3">
        <v>150</v>
      </c>
      <c r="F93" s="3">
        <v>67</v>
      </c>
      <c r="G93" s="54"/>
      <c r="H93" s="3">
        <v>25</v>
      </c>
      <c r="I93" s="49">
        <v>99.9</v>
      </c>
      <c r="J93" s="3" t="s">
        <v>285</v>
      </c>
      <c r="K93" s="54">
        <v>22</v>
      </c>
      <c r="L93" s="3"/>
    </row>
    <row r="94" spans="1:12" ht="14.5" thickBot="1" x14ac:dyDescent="0.35">
      <c r="A94" s="82">
        <v>45740</v>
      </c>
      <c r="B94" s="54" t="s">
        <v>40</v>
      </c>
      <c r="C94" s="49" t="s">
        <v>230</v>
      </c>
      <c r="D94" s="82">
        <v>45695</v>
      </c>
      <c r="E94" s="3">
        <v>150</v>
      </c>
      <c r="F94" s="3">
        <v>68</v>
      </c>
      <c r="G94" s="54"/>
      <c r="H94" s="3">
        <v>21</v>
      </c>
      <c r="I94" s="49">
        <v>99.9</v>
      </c>
      <c r="J94" s="3" t="s">
        <v>189</v>
      </c>
      <c r="K94" s="54">
        <v>22</v>
      </c>
      <c r="L94" s="3"/>
    </row>
    <row r="95" spans="1:12" ht="14.5" thickBot="1" x14ac:dyDescent="0.35">
      <c r="A95" s="82">
        <v>45741</v>
      </c>
      <c r="B95" s="54" t="s">
        <v>40</v>
      </c>
      <c r="C95" s="49" t="s">
        <v>230</v>
      </c>
      <c r="D95" s="82">
        <v>45695</v>
      </c>
      <c r="E95" s="3">
        <v>150</v>
      </c>
      <c r="F95" s="3">
        <v>75</v>
      </c>
      <c r="G95" s="54"/>
      <c r="H95" s="3">
        <v>20</v>
      </c>
      <c r="I95" s="49">
        <v>99.9</v>
      </c>
      <c r="J95" s="3" t="s">
        <v>192</v>
      </c>
      <c r="K95" s="54">
        <v>20</v>
      </c>
      <c r="L95" s="3"/>
    </row>
    <row r="96" spans="1:12" ht="14.5" thickBot="1" x14ac:dyDescent="0.35">
      <c r="A96" s="82">
        <v>45742</v>
      </c>
      <c r="B96" s="54" t="s">
        <v>40</v>
      </c>
      <c r="C96" s="49" t="s">
        <v>230</v>
      </c>
      <c r="D96" s="82">
        <v>45695</v>
      </c>
      <c r="E96" s="3">
        <v>150</v>
      </c>
      <c r="F96" s="3">
        <v>64</v>
      </c>
      <c r="G96" s="54"/>
      <c r="H96" s="3">
        <v>20</v>
      </c>
      <c r="I96" s="49">
        <v>99.9</v>
      </c>
      <c r="J96" s="3" t="s">
        <v>189</v>
      </c>
      <c r="K96" s="54">
        <v>17</v>
      </c>
      <c r="L96" s="3"/>
    </row>
    <row r="97" spans="1:12" ht="14.5" thickBot="1" x14ac:dyDescent="0.35">
      <c r="A97" s="82">
        <v>45743</v>
      </c>
      <c r="B97" s="54" t="s">
        <v>39</v>
      </c>
      <c r="C97" s="49" t="s">
        <v>230</v>
      </c>
      <c r="D97" s="3" t="s">
        <v>19</v>
      </c>
      <c r="E97" s="3" t="s">
        <v>19</v>
      </c>
      <c r="F97" s="3">
        <v>55</v>
      </c>
      <c r="G97" s="54"/>
      <c r="H97" s="3">
        <v>19</v>
      </c>
      <c r="I97" s="49">
        <v>99.9</v>
      </c>
      <c r="J97" s="3" t="s">
        <v>288</v>
      </c>
      <c r="K97" s="54">
        <v>12</v>
      </c>
      <c r="L97" s="3"/>
    </row>
    <row r="98" spans="1:12" ht="14.5" thickBot="1" x14ac:dyDescent="0.35">
      <c r="A98" s="82">
        <v>45744</v>
      </c>
      <c r="B98" s="54" t="s">
        <v>40</v>
      </c>
      <c r="C98" s="49" t="s">
        <v>230</v>
      </c>
      <c r="D98" s="82">
        <v>45695</v>
      </c>
      <c r="E98" s="3">
        <v>150</v>
      </c>
      <c r="F98" s="3">
        <v>67</v>
      </c>
      <c r="G98" s="54"/>
      <c r="H98" s="3">
        <v>19</v>
      </c>
      <c r="I98" s="49">
        <v>99.9</v>
      </c>
      <c r="J98" s="3" t="s">
        <v>237</v>
      </c>
      <c r="K98" s="54">
        <v>17</v>
      </c>
      <c r="L98" s="3"/>
    </row>
    <row r="99" spans="1:12" ht="14.5" thickBot="1" x14ac:dyDescent="0.35">
      <c r="A99" s="82">
        <v>45746</v>
      </c>
      <c r="B99" s="54" t="s">
        <v>40</v>
      </c>
      <c r="C99" s="49" t="s">
        <v>230</v>
      </c>
      <c r="D99" s="82">
        <v>45695</v>
      </c>
      <c r="E99" s="3">
        <v>150</v>
      </c>
      <c r="F99" s="3">
        <v>65</v>
      </c>
      <c r="G99" s="54"/>
      <c r="H99" s="3">
        <v>21</v>
      </c>
      <c r="I99" s="49">
        <v>99.9</v>
      </c>
      <c r="J99" s="3" t="s">
        <v>291</v>
      </c>
      <c r="K99" s="54">
        <v>14</v>
      </c>
      <c r="L99" s="3"/>
    </row>
    <row r="100" spans="1:12" ht="14.5" thickBot="1" x14ac:dyDescent="0.35">
      <c r="A100" s="82">
        <v>45747</v>
      </c>
      <c r="B100" s="54" t="s">
        <v>33</v>
      </c>
      <c r="C100" s="49" t="s">
        <v>230</v>
      </c>
      <c r="D100" s="3" t="s">
        <v>19</v>
      </c>
      <c r="E100" s="3" t="s">
        <v>19</v>
      </c>
      <c r="F100" s="3">
        <v>55</v>
      </c>
      <c r="G100" s="54"/>
      <c r="H100" s="3">
        <v>21</v>
      </c>
      <c r="I100" s="49">
        <v>99.9</v>
      </c>
      <c r="J100" s="3" t="s">
        <v>292</v>
      </c>
      <c r="K100" s="54">
        <v>15</v>
      </c>
      <c r="L100" s="3"/>
    </row>
    <row r="101" spans="1:12" ht="14.5" thickBot="1" x14ac:dyDescent="0.35">
      <c r="A101" s="82">
        <v>45748</v>
      </c>
      <c r="B101" s="54" t="s">
        <v>40</v>
      </c>
      <c r="C101" s="49" t="s">
        <v>230</v>
      </c>
      <c r="D101" s="82">
        <v>45695</v>
      </c>
      <c r="E101" s="3">
        <v>150</v>
      </c>
      <c r="F101" s="3">
        <v>70</v>
      </c>
      <c r="G101" s="54"/>
      <c r="H101" s="3">
        <v>20</v>
      </c>
      <c r="I101" s="49">
        <v>99.9</v>
      </c>
      <c r="J101" s="3" t="s">
        <v>293</v>
      </c>
      <c r="K101" s="54">
        <v>17</v>
      </c>
      <c r="L101" s="3"/>
    </row>
    <row r="102" spans="1:12" ht="14.5" thickBot="1" x14ac:dyDescent="0.35">
      <c r="A102" s="82">
        <v>45749</v>
      </c>
      <c r="B102" s="54" t="s">
        <v>40</v>
      </c>
      <c r="C102" s="49" t="s">
        <v>230</v>
      </c>
      <c r="D102" s="82">
        <v>45702</v>
      </c>
      <c r="E102" s="3">
        <v>150</v>
      </c>
      <c r="F102" s="3">
        <v>64</v>
      </c>
      <c r="G102" s="54"/>
      <c r="H102" s="3">
        <v>19</v>
      </c>
      <c r="I102" s="49">
        <v>99.9</v>
      </c>
      <c r="J102" s="3" t="s">
        <v>283</v>
      </c>
      <c r="K102" s="54"/>
      <c r="L102" s="3"/>
    </row>
    <row r="103" spans="1:12" ht="14.5" thickBot="1" x14ac:dyDescent="0.35">
      <c r="A103" s="82">
        <v>45750</v>
      </c>
      <c r="B103" s="54" t="s">
        <v>40</v>
      </c>
      <c r="C103" s="49" t="s">
        <v>230</v>
      </c>
      <c r="D103" s="82">
        <v>45702</v>
      </c>
      <c r="E103" s="3">
        <v>150</v>
      </c>
      <c r="F103" s="3">
        <v>63</v>
      </c>
      <c r="G103" s="54"/>
      <c r="H103" s="3">
        <v>22</v>
      </c>
      <c r="I103" s="49">
        <v>99.9</v>
      </c>
      <c r="J103" s="3" t="s">
        <v>189</v>
      </c>
      <c r="K103" s="54">
        <v>19</v>
      </c>
      <c r="L103" s="3"/>
    </row>
    <row r="104" spans="1:12" ht="14.5" thickBot="1" x14ac:dyDescent="0.35">
      <c r="A104" s="82">
        <v>45750</v>
      </c>
      <c r="B104" s="54" t="s">
        <v>40</v>
      </c>
      <c r="C104" s="49" t="s">
        <v>230</v>
      </c>
      <c r="D104" s="82">
        <v>45702</v>
      </c>
      <c r="E104" s="3">
        <v>150</v>
      </c>
      <c r="F104" s="3">
        <v>73</v>
      </c>
      <c r="G104" s="54"/>
      <c r="H104" s="3">
        <v>20</v>
      </c>
      <c r="I104" s="49">
        <v>99.9</v>
      </c>
      <c r="J104" s="3" t="s">
        <v>294</v>
      </c>
      <c r="K104" s="54">
        <v>19</v>
      </c>
      <c r="L104" s="3"/>
    </row>
    <row r="105" spans="1:12" ht="14.5" thickBot="1" x14ac:dyDescent="0.35">
      <c r="A105" s="82">
        <v>45751</v>
      </c>
      <c r="B105" s="54" t="s">
        <v>40</v>
      </c>
      <c r="C105" s="49" t="s">
        <v>230</v>
      </c>
      <c r="D105" s="82">
        <v>45702</v>
      </c>
      <c r="E105" s="3">
        <v>150</v>
      </c>
      <c r="F105" s="3">
        <v>63</v>
      </c>
      <c r="G105" s="54"/>
      <c r="H105" s="3">
        <v>24</v>
      </c>
      <c r="I105" s="49">
        <v>99.9</v>
      </c>
      <c r="J105" s="3" t="s">
        <v>293</v>
      </c>
      <c r="K105" s="54">
        <v>20</v>
      </c>
      <c r="L105" s="3"/>
    </row>
    <row r="106" spans="1:12" ht="14.5" thickBot="1" x14ac:dyDescent="0.35">
      <c r="A106" s="82">
        <v>45753</v>
      </c>
      <c r="B106" s="54" t="s">
        <v>40</v>
      </c>
      <c r="C106" s="49" t="s">
        <v>230</v>
      </c>
      <c r="D106" s="82">
        <v>45702</v>
      </c>
      <c r="E106" s="3">
        <v>150</v>
      </c>
      <c r="F106" s="3">
        <v>62</v>
      </c>
      <c r="G106" s="54"/>
      <c r="H106" s="3">
        <v>24</v>
      </c>
      <c r="I106" s="49">
        <v>99.9</v>
      </c>
      <c r="J106" s="3" t="s">
        <v>192</v>
      </c>
      <c r="K106" s="54">
        <v>20</v>
      </c>
      <c r="L106" s="3"/>
    </row>
    <row r="107" spans="1:12" ht="14.5" thickBot="1" x14ac:dyDescent="0.35">
      <c r="A107" s="82">
        <v>45753</v>
      </c>
      <c r="B107" s="54" t="s">
        <v>40</v>
      </c>
      <c r="C107" s="49" t="s">
        <v>230</v>
      </c>
      <c r="D107" s="82">
        <v>45702</v>
      </c>
      <c r="E107" s="3">
        <v>150</v>
      </c>
      <c r="F107" s="3">
        <v>76</v>
      </c>
      <c r="G107" s="54"/>
      <c r="H107" s="3">
        <v>24</v>
      </c>
      <c r="I107" s="49">
        <v>99.9</v>
      </c>
      <c r="J107" s="3" t="s">
        <v>297</v>
      </c>
      <c r="K107" s="54">
        <v>20</v>
      </c>
      <c r="L107" s="3"/>
    </row>
    <row r="108" spans="1:12" ht="14.5" thickBot="1" x14ac:dyDescent="0.35">
      <c r="A108" s="82">
        <v>45723</v>
      </c>
      <c r="B108" s="54" t="s">
        <v>39</v>
      </c>
      <c r="C108" s="49" t="s">
        <v>230</v>
      </c>
      <c r="D108" s="3" t="s">
        <v>19</v>
      </c>
      <c r="E108" s="3" t="s">
        <v>19</v>
      </c>
      <c r="F108" s="3">
        <v>55</v>
      </c>
      <c r="G108" s="54"/>
      <c r="H108" s="3">
        <v>20</v>
      </c>
      <c r="I108" s="49">
        <v>99.9</v>
      </c>
      <c r="J108" s="3" t="s">
        <v>302</v>
      </c>
      <c r="K108" s="54">
        <v>9</v>
      </c>
      <c r="L108" s="3"/>
    </row>
    <row r="109" spans="1:12" ht="14.5" thickBot="1" x14ac:dyDescent="0.35">
      <c r="A109" s="82">
        <v>45725</v>
      </c>
      <c r="B109" s="54" t="s">
        <v>177</v>
      </c>
      <c r="C109" s="49" t="s">
        <v>230</v>
      </c>
      <c r="D109" s="3" t="s">
        <v>19</v>
      </c>
      <c r="E109" s="3" t="s">
        <v>19</v>
      </c>
      <c r="F109" s="3">
        <v>55</v>
      </c>
      <c r="G109" s="54"/>
      <c r="H109" s="3">
        <v>22</v>
      </c>
      <c r="I109" s="49">
        <v>99.9</v>
      </c>
      <c r="J109" s="3" t="s">
        <v>307</v>
      </c>
      <c r="K109" s="54">
        <v>11</v>
      </c>
      <c r="L109" s="3"/>
    </row>
    <row r="110" spans="1:12" ht="14.5" thickBot="1" x14ac:dyDescent="0.35">
      <c r="A110" s="82">
        <v>45757</v>
      </c>
      <c r="B110" s="54" t="s">
        <v>40</v>
      </c>
      <c r="C110" s="49" t="s">
        <v>230</v>
      </c>
      <c r="D110" s="82">
        <v>45711</v>
      </c>
      <c r="E110" s="3">
        <v>150</v>
      </c>
      <c r="F110" s="3">
        <v>65</v>
      </c>
      <c r="G110" s="54"/>
      <c r="H110" s="3">
        <v>24</v>
      </c>
      <c r="I110" s="49">
        <v>99.9</v>
      </c>
      <c r="J110" s="3" t="s">
        <v>281</v>
      </c>
      <c r="K110" s="54">
        <v>20</v>
      </c>
      <c r="L110" s="3"/>
    </row>
    <row r="111" spans="1:12" ht="14.5" thickBot="1" x14ac:dyDescent="0.35">
      <c r="A111" s="82">
        <v>45758</v>
      </c>
      <c r="B111" s="54" t="s">
        <v>40</v>
      </c>
      <c r="C111" s="49" t="s">
        <v>230</v>
      </c>
      <c r="D111" s="82">
        <v>45711</v>
      </c>
      <c r="E111" s="3">
        <v>150</v>
      </c>
      <c r="F111" s="3">
        <v>60</v>
      </c>
      <c r="G111" s="54"/>
      <c r="H111" s="3">
        <v>20</v>
      </c>
      <c r="I111" s="49">
        <v>99.9</v>
      </c>
      <c r="J111" s="3" t="s">
        <v>189</v>
      </c>
      <c r="K111" s="54">
        <v>17</v>
      </c>
      <c r="L111" s="3"/>
    </row>
    <row r="112" spans="1:12" ht="14.5" thickBot="1" x14ac:dyDescent="0.35">
      <c r="A112" s="82">
        <v>45761</v>
      </c>
      <c r="B112" s="54" t="s">
        <v>40</v>
      </c>
      <c r="C112" s="49" t="s">
        <v>230</v>
      </c>
      <c r="D112" s="82">
        <v>45711</v>
      </c>
      <c r="E112" s="3">
        <v>150</v>
      </c>
      <c r="F112" s="3">
        <v>68</v>
      </c>
      <c r="G112" s="54"/>
      <c r="H112" s="3">
        <v>20</v>
      </c>
      <c r="I112" s="49">
        <v>99.9</v>
      </c>
      <c r="J112" s="3" t="s">
        <v>189</v>
      </c>
      <c r="K112" s="54">
        <v>15</v>
      </c>
      <c r="L112" s="3"/>
    </row>
    <row r="113" spans="1:12" ht="14.5" thickBot="1" x14ac:dyDescent="0.35">
      <c r="A113" s="82">
        <v>45762</v>
      </c>
      <c r="B113" s="54" t="s">
        <v>40</v>
      </c>
      <c r="C113" s="49" t="s">
        <v>230</v>
      </c>
      <c r="D113" s="82">
        <v>45711</v>
      </c>
      <c r="E113" s="3">
        <v>150</v>
      </c>
      <c r="F113" s="3">
        <v>60</v>
      </c>
      <c r="G113" s="54"/>
      <c r="H113" s="3">
        <v>20</v>
      </c>
      <c r="I113" s="49">
        <v>99.9</v>
      </c>
      <c r="J113" s="3" t="s">
        <v>189</v>
      </c>
      <c r="K113" s="54">
        <v>17</v>
      </c>
      <c r="L113" s="3"/>
    </row>
    <row r="114" spans="1:12" ht="14.5" thickBot="1" x14ac:dyDescent="0.35">
      <c r="A114" s="82">
        <v>45763</v>
      </c>
      <c r="B114" s="54" t="s">
        <v>40</v>
      </c>
      <c r="C114" s="49" t="s">
        <v>230</v>
      </c>
      <c r="D114" s="82">
        <v>45711</v>
      </c>
      <c r="E114" s="3">
        <v>150</v>
      </c>
      <c r="F114" s="3">
        <v>58</v>
      </c>
      <c r="G114" s="54"/>
      <c r="H114" s="3">
        <v>20</v>
      </c>
      <c r="I114" s="49">
        <v>99.9</v>
      </c>
      <c r="J114" s="3" t="s">
        <v>189</v>
      </c>
      <c r="K114" s="54">
        <v>17</v>
      </c>
      <c r="L114" s="3"/>
    </row>
    <row r="115" spans="1:12" ht="14.5" thickBot="1" x14ac:dyDescent="0.35">
      <c r="A115" s="82">
        <v>45764</v>
      </c>
      <c r="B115" s="54" t="s">
        <v>40</v>
      </c>
      <c r="C115" s="49" t="s">
        <v>230</v>
      </c>
      <c r="D115" s="82">
        <v>45711</v>
      </c>
      <c r="E115" s="3">
        <v>150</v>
      </c>
      <c r="F115" s="3">
        <v>66</v>
      </c>
      <c r="G115" s="54"/>
      <c r="H115" s="3">
        <v>21</v>
      </c>
      <c r="I115" s="49">
        <v>99.9</v>
      </c>
      <c r="J115" s="3" t="s">
        <v>308</v>
      </c>
      <c r="K115" s="54">
        <v>20</v>
      </c>
      <c r="L115" s="3"/>
    </row>
    <row r="116" spans="1:12" ht="14.5" thickBot="1" x14ac:dyDescent="0.35">
      <c r="A116" s="82">
        <v>45765</v>
      </c>
      <c r="B116" s="54" t="s">
        <v>40</v>
      </c>
      <c r="C116" s="49" t="s">
        <v>230</v>
      </c>
      <c r="D116" s="82">
        <v>45719</v>
      </c>
      <c r="E116" s="3">
        <v>150</v>
      </c>
      <c r="F116" s="3">
        <v>55</v>
      </c>
      <c r="G116" s="54"/>
      <c r="H116" s="3">
        <v>19</v>
      </c>
      <c r="I116" s="49">
        <v>99.9</v>
      </c>
      <c r="J116" s="3" t="s">
        <v>309</v>
      </c>
      <c r="K116" s="54">
        <v>15</v>
      </c>
      <c r="L116" s="3"/>
    </row>
    <row r="117" spans="1:12" ht="14.5" thickBot="1" x14ac:dyDescent="0.35">
      <c r="A117" s="82">
        <v>45767</v>
      </c>
      <c r="B117" s="54" t="s">
        <v>177</v>
      </c>
      <c r="C117" s="49" t="s">
        <v>230</v>
      </c>
      <c r="D117" s="3" t="s">
        <v>19</v>
      </c>
      <c r="E117" s="3" t="s">
        <v>19</v>
      </c>
      <c r="F117" s="3">
        <v>55</v>
      </c>
      <c r="G117" s="54"/>
      <c r="H117" s="3">
        <v>24</v>
      </c>
      <c r="I117" s="49">
        <v>99.9</v>
      </c>
      <c r="J117" s="3" t="s">
        <v>310</v>
      </c>
      <c r="K117" s="54">
        <v>11</v>
      </c>
      <c r="L117" s="3"/>
    </row>
    <row r="118" spans="1:12" ht="14.5" thickBot="1" x14ac:dyDescent="0.35">
      <c r="A118" s="82">
        <v>45768</v>
      </c>
      <c r="B118" s="54" t="s">
        <v>33</v>
      </c>
      <c r="C118" s="49" t="s">
        <v>230</v>
      </c>
      <c r="D118" s="3" t="s">
        <v>19</v>
      </c>
      <c r="E118" s="3" t="s">
        <v>19</v>
      </c>
      <c r="F118" s="3">
        <v>55</v>
      </c>
      <c r="G118" s="54"/>
      <c r="H118" s="3">
        <v>21</v>
      </c>
      <c r="I118" s="49">
        <v>99.9</v>
      </c>
      <c r="J118" s="3" t="s">
        <v>316</v>
      </c>
      <c r="K118" s="54">
        <v>10</v>
      </c>
      <c r="L118" s="3"/>
    </row>
    <row r="119" spans="1:12" ht="14.5" thickBot="1" x14ac:dyDescent="0.35">
      <c r="A119" s="82">
        <v>45769</v>
      </c>
      <c r="B119" s="54" t="s">
        <v>40</v>
      </c>
      <c r="C119" s="49" t="s">
        <v>230</v>
      </c>
      <c r="D119" s="82">
        <v>45719</v>
      </c>
      <c r="E119" s="3">
        <v>150</v>
      </c>
      <c r="F119" s="3">
        <v>70</v>
      </c>
      <c r="G119" s="54"/>
      <c r="H119" s="3">
        <v>20</v>
      </c>
      <c r="I119" s="49">
        <v>99.9</v>
      </c>
      <c r="J119" s="3" t="s">
        <v>41</v>
      </c>
      <c r="K119" s="54">
        <v>16</v>
      </c>
      <c r="L119" s="3"/>
    </row>
    <row r="120" spans="1:12" ht="14.5" thickBot="1" x14ac:dyDescent="0.35">
      <c r="A120" s="82">
        <v>45769</v>
      </c>
      <c r="B120" s="54" t="s">
        <v>40</v>
      </c>
      <c r="C120" s="49" t="s">
        <v>230</v>
      </c>
      <c r="D120" s="82">
        <v>45719</v>
      </c>
      <c r="E120" s="3">
        <v>150</v>
      </c>
      <c r="F120" s="3">
        <v>65</v>
      </c>
      <c r="G120" s="54"/>
      <c r="H120" s="3">
        <v>19</v>
      </c>
      <c r="I120" s="49">
        <v>99.9</v>
      </c>
      <c r="J120" s="3" t="s">
        <v>227</v>
      </c>
      <c r="K120" s="54">
        <v>16</v>
      </c>
      <c r="L120" s="3"/>
    </row>
    <row r="121" spans="1:12" ht="14.5" thickBot="1" x14ac:dyDescent="0.35">
      <c r="A121" s="82">
        <v>45770</v>
      </c>
      <c r="B121" s="54" t="s">
        <v>40</v>
      </c>
      <c r="C121" s="49" t="s">
        <v>230</v>
      </c>
      <c r="D121" s="82">
        <v>45719</v>
      </c>
      <c r="E121" s="3">
        <v>150</v>
      </c>
      <c r="F121" s="3">
        <v>59</v>
      </c>
      <c r="G121" s="54"/>
      <c r="H121" s="3">
        <v>20</v>
      </c>
      <c r="I121" s="49">
        <v>99.9</v>
      </c>
      <c r="J121" s="3" t="s">
        <v>321</v>
      </c>
      <c r="K121" s="54">
        <v>17</v>
      </c>
      <c r="L121" s="3"/>
    </row>
    <row r="122" spans="1:12" ht="14.5" thickBot="1" x14ac:dyDescent="0.35">
      <c r="A122" s="82">
        <v>45771</v>
      </c>
      <c r="B122" s="54" t="s">
        <v>40</v>
      </c>
      <c r="C122" s="49" t="s">
        <v>230</v>
      </c>
      <c r="D122" s="82">
        <v>45719</v>
      </c>
      <c r="E122" s="3">
        <v>150</v>
      </c>
      <c r="F122" s="3">
        <v>58</v>
      </c>
      <c r="G122" s="54"/>
      <c r="H122" s="3">
        <v>21</v>
      </c>
      <c r="I122" s="49">
        <v>99.9</v>
      </c>
      <c r="J122" s="3" t="s">
        <v>322</v>
      </c>
      <c r="K122" s="54">
        <v>15</v>
      </c>
      <c r="L122" s="3"/>
    </row>
    <row r="123" spans="1:12" ht="14.5" thickBot="1" x14ac:dyDescent="0.35">
      <c r="A123" s="82">
        <v>45771</v>
      </c>
      <c r="B123" s="54" t="s">
        <v>40</v>
      </c>
      <c r="C123" s="49" t="s">
        <v>230</v>
      </c>
      <c r="D123" s="82">
        <v>45719</v>
      </c>
      <c r="E123" s="3">
        <v>150</v>
      </c>
      <c r="F123" s="3">
        <v>60</v>
      </c>
      <c r="G123" s="54"/>
      <c r="H123" s="3">
        <v>21</v>
      </c>
      <c r="I123" s="49">
        <v>99.9</v>
      </c>
      <c r="J123" s="3" t="s">
        <v>323</v>
      </c>
      <c r="K123" s="54">
        <v>15</v>
      </c>
      <c r="L123" s="3"/>
    </row>
    <row r="124" spans="1:12" ht="14.5" thickBot="1" x14ac:dyDescent="0.35">
      <c r="A124" s="82">
        <v>45772</v>
      </c>
      <c r="B124" s="54" t="s">
        <v>40</v>
      </c>
      <c r="C124" s="49" t="s">
        <v>230</v>
      </c>
      <c r="D124" s="82">
        <v>45721</v>
      </c>
      <c r="E124" s="3">
        <v>150</v>
      </c>
      <c r="F124" s="3">
        <v>61</v>
      </c>
      <c r="G124" s="54"/>
      <c r="H124" s="3">
        <v>17</v>
      </c>
      <c r="I124" s="49">
        <v>99.9</v>
      </c>
      <c r="J124" s="3" t="s">
        <v>324</v>
      </c>
      <c r="K124" s="54">
        <v>15</v>
      </c>
      <c r="L124" s="3"/>
    </row>
    <row r="125" spans="1:12" ht="14.5" thickBot="1" x14ac:dyDescent="0.35">
      <c r="A125" s="82">
        <v>45774</v>
      </c>
      <c r="B125" s="54" t="s">
        <v>40</v>
      </c>
      <c r="C125" s="49" t="s">
        <v>230</v>
      </c>
      <c r="D125" s="82">
        <v>45721</v>
      </c>
      <c r="E125" s="3">
        <v>150</v>
      </c>
      <c r="F125" s="3">
        <v>50</v>
      </c>
      <c r="G125" s="54"/>
      <c r="H125" s="3">
        <v>20</v>
      </c>
      <c r="I125" s="49">
        <v>99.9</v>
      </c>
      <c r="J125" s="3" t="s">
        <v>192</v>
      </c>
      <c r="K125" s="54">
        <v>10</v>
      </c>
      <c r="L125" s="3"/>
    </row>
    <row r="126" spans="1:12" ht="14.5" thickBot="1" x14ac:dyDescent="0.35">
      <c r="A126" s="82">
        <v>45774</v>
      </c>
      <c r="B126" s="54" t="s">
        <v>40</v>
      </c>
      <c r="C126" s="49" t="s">
        <v>230</v>
      </c>
      <c r="D126" s="82">
        <v>45721</v>
      </c>
      <c r="E126" s="3">
        <v>150</v>
      </c>
      <c r="F126" s="3">
        <v>57</v>
      </c>
      <c r="G126" s="54"/>
      <c r="H126" s="3">
        <v>20</v>
      </c>
      <c r="I126" s="49">
        <v>99.9</v>
      </c>
      <c r="J126" s="3" t="s">
        <v>325</v>
      </c>
      <c r="K126" s="54">
        <v>14</v>
      </c>
      <c r="L126" s="3"/>
    </row>
    <row r="127" spans="1:12" ht="14.5" thickBot="1" x14ac:dyDescent="0.35">
      <c r="A127" s="82">
        <v>45775</v>
      </c>
      <c r="B127" s="54" t="s">
        <v>40</v>
      </c>
      <c r="C127" s="49" t="s">
        <v>230</v>
      </c>
      <c r="D127" s="82">
        <v>45721</v>
      </c>
      <c r="E127" s="3">
        <v>150</v>
      </c>
      <c r="F127" s="3">
        <v>48</v>
      </c>
      <c r="G127" s="54"/>
      <c r="H127" s="3">
        <v>20</v>
      </c>
      <c r="I127" s="49">
        <v>99.9</v>
      </c>
      <c r="J127" s="3" t="s">
        <v>273</v>
      </c>
      <c r="K127" s="54">
        <v>15</v>
      </c>
      <c r="L127" s="3"/>
    </row>
    <row r="128" spans="1:12" ht="14.5" thickBot="1" x14ac:dyDescent="0.35">
      <c r="A128" s="82">
        <v>45775</v>
      </c>
      <c r="B128" s="54" t="s">
        <v>40</v>
      </c>
      <c r="C128" s="49" t="s">
        <v>230</v>
      </c>
      <c r="D128" s="82">
        <v>45721</v>
      </c>
      <c r="E128" s="3">
        <v>150</v>
      </c>
      <c r="F128" s="3">
        <v>65</v>
      </c>
      <c r="G128" s="54"/>
      <c r="H128" s="3">
        <v>20</v>
      </c>
      <c r="I128" s="49">
        <v>99.9</v>
      </c>
      <c r="J128" s="3" t="s">
        <v>326</v>
      </c>
      <c r="K128" s="54">
        <v>15</v>
      </c>
      <c r="L128" s="3"/>
    </row>
    <row r="129" spans="1:12" ht="14.5" thickBot="1" x14ac:dyDescent="0.35">
      <c r="A129" s="82">
        <v>45776</v>
      </c>
      <c r="B129" s="54" t="s">
        <v>40</v>
      </c>
      <c r="C129" s="49" t="s">
        <v>230</v>
      </c>
      <c r="D129" s="82">
        <v>45721</v>
      </c>
      <c r="E129" s="3">
        <v>150</v>
      </c>
      <c r="F129" s="3">
        <v>60</v>
      </c>
      <c r="G129" s="54"/>
      <c r="H129" s="3">
        <v>20</v>
      </c>
      <c r="I129" s="49">
        <v>99.9</v>
      </c>
      <c r="J129" s="3" t="s">
        <v>237</v>
      </c>
      <c r="K129" s="54">
        <v>15</v>
      </c>
      <c r="L129" s="3"/>
    </row>
    <row r="130" spans="1:12" ht="14.5" thickBot="1" x14ac:dyDescent="0.35">
      <c r="A130" s="82">
        <v>45777</v>
      </c>
      <c r="B130" s="54" t="s">
        <v>40</v>
      </c>
      <c r="C130" s="49" t="s">
        <v>230</v>
      </c>
      <c r="D130" s="82">
        <v>45726</v>
      </c>
      <c r="E130" s="3">
        <v>150</v>
      </c>
      <c r="F130" s="3">
        <v>55</v>
      </c>
      <c r="G130" s="54"/>
      <c r="H130" s="3">
        <v>17</v>
      </c>
      <c r="I130" s="49">
        <v>99.9</v>
      </c>
      <c r="J130" s="3" t="s">
        <v>189</v>
      </c>
      <c r="K130" s="54">
        <v>17</v>
      </c>
      <c r="L130" s="3"/>
    </row>
    <row r="131" spans="1:12" ht="14.5" thickBot="1" x14ac:dyDescent="0.35">
      <c r="A131" s="82">
        <v>45778</v>
      </c>
      <c r="B131" s="54" t="s">
        <v>39</v>
      </c>
      <c r="C131" s="49" t="s">
        <v>230</v>
      </c>
      <c r="D131" s="3" t="s">
        <v>19</v>
      </c>
      <c r="E131" s="3" t="s">
        <v>19</v>
      </c>
      <c r="F131" s="3">
        <v>54</v>
      </c>
      <c r="G131" s="54"/>
      <c r="H131" s="3">
        <v>19</v>
      </c>
      <c r="I131" s="49">
        <v>99.9</v>
      </c>
      <c r="J131" s="3" t="s">
        <v>329</v>
      </c>
      <c r="K131" s="54">
        <v>10</v>
      </c>
      <c r="L131" s="3"/>
    </row>
    <row r="132" spans="1:12" ht="14.5" thickBot="1" x14ac:dyDescent="0.35">
      <c r="A132" s="82">
        <v>45779</v>
      </c>
      <c r="B132" s="54" t="s">
        <v>40</v>
      </c>
      <c r="C132" s="49" t="s">
        <v>230</v>
      </c>
      <c r="D132" s="82">
        <v>45726</v>
      </c>
      <c r="E132" s="3">
        <v>150</v>
      </c>
      <c r="F132" s="3">
        <v>60</v>
      </c>
      <c r="G132" s="54"/>
      <c r="H132" s="3">
        <v>21</v>
      </c>
      <c r="I132" s="49">
        <v>99.9</v>
      </c>
      <c r="J132" s="3" t="s">
        <v>224</v>
      </c>
      <c r="K132" s="54">
        <v>15</v>
      </c>
      <c r="L132" s="3"/>
    </row>
    <row r="133" spans="1:12" ht="14.5" thickBot="1" x14ac:dyDescent="0.35">
      <c r="A133" s="82">
        <v>45781</v>
      </c>
      <c r="B133" s="54" t="s">
        <v>40</v>
      </c>
      <c r="C133" s="49" t="s">
        <v>230</v>
      </c>
      <c r="D133" s="82">
        <v>45726</v>
      </c>
      <c r="E133" s="3">
        <v>150</v>
      </c>
      <c r="F133" s="3">
        <v>60</v>
      </c>
      <c r="G133" s="54"/>
      <c r="H133" s="3">
        <v>24</v>
      </c>
      <c r="I133" s="49">
        <v>99.9</v>
      </c>
      <c r="J133" s="3" t="s">
        <v>163</v>
      </c>
      <c r="K133" s="54">
        <v>17</v>
      </c>
      <c r="L133" s="3"/>
    </row>
    <row r="134" spans="1:12" ht="14.5" thickBot="1" x14ac:dyDescent="0.35">
      <c r="A134" s="82">
        <v>45781</v>
      </c>
      <c r="B134" s="54" t="s">
        <v>40</v>
      </c>
      <c r="C134" s="49" t="s">
        <v>230</v>
      </c>
      <c r="D134" s="82">
        <v>45726</v>
      </c>
      <c r="E134" s="3">
        <v>150</v>
      </c>
      <c r="F134" s="3">
        <v>60</v>
      </c>
      <c r="G134" s="54"/>
      <c r="H134" s="3">
        <v>21</v>
      </c>
      <c r="I134" s="49">
        <v>99.9</v>
      </c>
      <c r="J134" s="3" t="s">
        <v>330</v>
      </c>
      <c r="K134" s="54">
        <v>17</v>
      </c>
      <c r="L134" s="3"/>
    </row>
    <row r="135" spans="1:12" ht="14.5" thickBot="1" x14ac:dyDescent="0.35">
      <c r="A135" s="82">
        <v>45782</v>
      </c>
      <c r="B135" s="54" t="s">
        <v>40</v>
      </c>
      <c r="C135" s="49" t="s">
        <v>230</v>
      </c>
      <c r="D135" s="82">
        <v>45726</v>
      </c>
      <c r="E135" s="3">
        <v>150</v>
      </c>
      <c r="F135" s="3">
        <v>65</v>
      </c>
      <c r="G135" s="54"/>
      <c r="H135" s="3">
        <v>20</v>
      </c>
      <c r="I135" s="49">
        <v>99.9</v>
      </c>
      <c r="J135" s="3" t="s">
        <v>237</v>
      </c>
      <c r="K135" s="54">
        <v>15</v>
      </c>
      <c r="L135" s="3"/>
    </row>
    <row r="136" spans="1:12" ht="14.5" thickBot="1" x14ac:dyDescent="0.35">
      <c r="A136" s="82">
        <v>45783</v>
      </c>
      <c r="B136" s="54" t="s">
        <v>40</v>
      </c>
      <c r="C136" s="49" t="s">
        <v>230</v>
      </c>
      <c r="D136" s="82">
        <v>45726</v>
      </c>
      <c r="E136" s="3">
        <v>150</v>
      </c>
      <c r="F136" s="3">
        <v>63</v>
      </c>
      <c r="G136" s="54"/>
      <c r="H136" s="3">
        <v>20</v>
      </c>
      <c r="I136" s="49">
        <v>99.9</v>
      </c>
      <c r="J136" s="3" t="s">
        <v>192</v>
      </c>
      <c r="K136" s="54">
        <v>17</v>
      </c>
      <c r="L136" s="3"/>
    </row>
    <row r="137" spans="1:12" ht="14.5" thickBot="1" x14ac:dyDescent="0.35">
      <c r="A137" s="82">
        <v>45784</v>
      </c>
      <c r="B137" s="54" t="s">
        <v>40</v>
      </c>
      <c r="C137" s="49" t="s">
        <v>230</v>
      </c>
      <c r="D137" s="82">
        <v>45732</v>
      </c>
      <c r="E137" s="3">
        <v>150</v>
      </c>
      <c r="F137" s="3">
        <v>65</v>
      </c>
      <c r="G137" s="54"/>
      <c r="H137" s="3">
        <v>21</v>
      </c>
      <c r="I137" s="49">
        <v>99.9</v>
      </c>
      <c r="J137" s="3" t="s">
        <v>335</v>
      </c>
      <c r="K137" s="54">
        <v>15</v>
      </c>
      <c r="L137" s="3"/>
    </row>
    <row r="138" spans="1:12" ht="14.5" thickBot="1" x14ac:dyDescent="0.35">
      <c r="A138" s="82">
        <v>45785</v>
      </c>
      <c r="B138" s="54" t="s">
        <v>40</v>
      </c>
      <c r="C138" s="49" t="s">
        <v>230</v>
      </c>
      <c r="D138" s="82">
        <v>45732</v>
      </c>
      <c r="E138" s="3">
        <v>150</v>
      </c>
      <c r="F138" s="3">
        <v>65</v>
      </c>
      <c r="G138" s="54"/>
      <c r="H138" s="3">
        <v>19</v>
      </c>
      <c r="I138" s="49">
        <v>99.9</v>
      </c>
      <c r="J138" s="3" t="s">
        <v>336</v>
      </c>
      <c r="K138" s="54">
        <v>16</v>
      </c>
      <c r="L138" s="3"/>
    </row>
    <row r="139" spans="1:12" ht="14.5" thickBot="1" x14ac:dyDescent="0.35">
      <c r="A139" s="82">
        <v>45786</v>
      </c>
      <c r="B139" s="54" t="s">
        <v>40</v>
      </c>
      <c r="C139" s="49" t="s">
        <v>230</v>
      </c>
      <c r="D139" s="82">
        <v>45732</v>
      </c>
      <c r="E139" s="3">
        <v>150</v>
      </c>
      <c r="F139" s="3">
        <v>60</v>
      </c>
      <c r="G139" s="54"/>
      <c r="H139" s="3">
        <v>20</v>
      </c>
      <c r="I139" s="49">
        <v>99.9</v>
      </c>
      <c r="J139" s="3" t="s">
        <v>337</v>
      </c>
      <c r="K139" s="54">
        <v>18</v>
      </c>
      <c r="L139" s="3"/>
    </row>
    <row r="140" spans="1:12" ht="14.5" thickBot="1" x14ac:dyDescent="0.35">
      <c r="A140" s="82">
        <v>45788</v>
      </c>
      <c r="B140" s="54" t="s">
        <v>40</v>
      </c>
      <c r="C140" s="49" t="s">
        <v>230</v>
      </c>
      <c r="D140" s="82">
        <v>45732</v>
      </c>
      <c r="E140" s="3">
        <v>150</v>
      </c>
      <c r="F140" s="3">
        <v>70</v>
      </c>
      <c r="G140" s="54"/>
      <c r="H140" s="3">
        <v>20</v>
      </c>
      <c r="I140" s="49">
        <v>99.9</v>
      </c>
      <c r="J140" s="3" t="s">
        <v>189</v>
      </c>
      <c r="K140" s="54">
        <v>20</v>
      </c>
      <c r="L140" s="3"/>
    </row>
    <row r="141" spans="1:12" ht="14.5" thickBot="1" x14ac:dyDescent="0.35">
      <c r="A141" s="82">
        <v>45789</v>
      </c>
      <c r="B141" s="54" t="s">
        <v>40</v>
      </c>
      <c r="C141" s="49" t="s">
        <v>230</v>
      </c>
      <c r="D141" s="82">
        <v>45732</v>
      </c>
      <c r="E141" s="3">
        <v>150</v>
      </c>
      <c r="F141" s="3">
        <v>71</v>
      </c>
      <c r="G141" s="54"/>
      <c r="H141" s="3">
        <v>19</v>
      </c>
      <c r="I141" s="49">
        <v>99.9</v>
      </c>
      <c r="J141" s="3" t="s">
        <v>338</v>
      </c>
      <c r="K141" s="54">
        <v>16</v>
      </c>
      <c r="L141" s="3"/>
    </row>
    <row r="142" spans="1:12" ht="14.5" thickBot="1" x14ac:dyDescent="0.35">
      <c r="A142" s="82">
        <v>45790</v>
      </c>
      <c r="B142" s="54" t="s">
        <v>40</v>
      </c>
      <c r="C142" s="49" t="s">
        <v>230</v>
      </c>
      <c r="D142" s="82">
        <v>45732</v>
      </c>
      <c r="E142" s="3">
        <v>150</v>
      </c>
      <c r="F142" s="3">
        <v>73</v>
      </c>
      <c r="G142" s="54"/>
      <c r="H142" s="3">
        <v>20</v>
      </c>
      <c r="I142" s="49">
        <v>99.9</v>
      </c>
      <c r="J142" s="3" t="s">
        <v>336</v>
      </c>
      <c r="K142" s="54">
        <v>18</v>
      </c>
      <c r="L142" s="3"/>
    </row>
    <row r="143" spans="1:12" ht="14.5" thickBot="1" x14ac:dyDescent="0.35">
      <c r="A143" s="82">
        <v>45792</v>
      </c>
      <c r="B143" s="54" t="s">
        <v>40</v>
      </c>
      <c r="C143" s="49" t="s">
        <v>230</v>
      </c>
      <c r="D143" s="82">
        <v>45739</v>
      </c>
      <c r="E143" s="3">
        <v>150</v>
      </c>
      <c r="F143" s="3">
        <v>57</v>
      </c>
      <c r="G143" s="54"/>
      <c r="H143" s="3">
        <v>20</v>
      </c>
      <c r="I143" s="49">
        <v>99.9</v>
      </c>
      <c r="J143" s="3" t="s">
        <v>189</v>
      </c>
      <c r="K143" s="54">
        <v>16</v>
      </c>
      <c r="L143" s="3"/>
    </row>
    <row r="144" spans="1:12" ht="14.5" thickBot="1" x14ac:dyDescent="0.35">
      <c r="A144" s="82">
        <v>45793</v>
      </c>
      <c r="B144" s="54" t="s">
        <v>40</v>
      </c>
      <c r="C144" s="49" t="s">
        <v>230</v>
      </c>
      <c r="D144" s="82">
        <v>45739</v>
      </c>
      <c r="E144" s="3">
        <v>150</v>
      </c>
      <c r="F144" s="3">
        <v>59</v>
      </c>
      <c r="G144" s="54"/>
      <c r="H144" s="3">
        <v>20</v>
      </c>
      <c r="I144" s="49">
        <v>99.9</v>
      </c>
      <c r="J144" s="3" t="s">
        <v>308</v>
      </c>
      <c r="K144" s="54">
        <v>19</v>
      </c>
      <c r="L144" s="3"/>
    </row>
    <row r="145" spans="1:13" ht="14.5" thickBot="1" x14ac:dyDescent="0.35">
      <c r="A145" s="82">
        <v>45795</v>
      </c>
      <c r="B145" s="54" t="s">
        <v>33</v>
      </c>
      <c r="C145" s="49" t="s">
        <v>230</v>
      </c>
      <c r="D145" s="3" t="s">
        <v>19</v>
      </c>
      <c r="E145" s="3" t="s">
        <v>19</v>
      </c>
      <c r="F145" s="3">
        <v>54</v>
      </c>
      <c r="G145" s="54"/>
      <c r="H145" s="3">
        <v>16</v>
      </c>
      <c r="I145" s="49">
        <v>99.9</v>
      </c>
      <c r="J145" s="3" t="s">
        <v>343</v>
      </c>
      <c r="K145" s="54">
        <v>13</v>
      </c>
      <c r="L145" s="3"/>
    </row>
    <row r="146" spans="1:13" ht="14.5" thickBot="1" x14ac:dyDescent="0.35">
      <c r="A146" s="82">
        <v>45796</v>
      </c>
      <c r="B146" s="54" t="s">
        <v>177</v>
      </c>
      <c r="C146" s="49" t="s">
        <v>230</v>
      </c>
      <c r="D146" s="3" t="s">
        <v>19</v>
      </c>
      <c r="E146" s="3" t="s">
        <v>19</v>
      </c>
      <c r="F146" s="3">
        <v>55</v>
      </c>
      <c r="G146" s="54"/>
      <c r="H146" s="3">
        <v>18</v>
      </c>
      <c r="I146" s="49">
        <v>99.9</v>
      </c>
      <c r="J146" s="3" t="s">
        <v>347</v>
      </c>
      <c r="K146" s="54">
        <v>8</v>
      </c>
      <c r="L146" s="3"/>
    </row>
    <row r="147" spans="1:13" ht="14.5" thickBot="1" x14ac:dyDescent="0.35">
      <c r="A147" s="82">
        <v>45797</v>
      </c>
      <c r="B147" s="54" t="s">
        <v>39</v>
      </c>
      <c r="C147" s="49" t="s">
        <v>230</v>
      </c>
      <c r="D147" s="3" t="s">
        <v>19</v>
      </c>
      <c r="E147" s="3" t="s">
        <v>19</v>
      </c>
      <c r="F147" s="3">
        <v>56</v>
      </c>
      <c r="G147" s="54"/>
      <c r="H147" s="3">
        <v>22</v>
      </c>
      <c r="I147" s="49">
        <v>99.9</v>
      </c>
      <c r="J147" s="3" t="s">
        <v>353</v>
      </c>
      <c r="K147" s="54">
        <v>12</v>
      </c>
      <c r="L147" s="3"/>
    </row>
    <row r="148" spans="1:13" ht="14.5" thickBot="1" x14ac:dyDescent="0.35">
      <c r="A148" s="82">
        <v>45798</v>
      </c>
      <c r="B148" s="54" t="s">
        <v>40</v>
      </c>
      <c r="C148" s="49" t="s">
        <v>230</v>
      </c>
      <c r="D148" s="82">
        <v>45739</v>
      </c>
      <c r="E148" s="3">
        <v>150</v>
      </c>
      <c r="F148" s="3">
        <v>62</v>
      </c>
      <c r="G148" s="54"/>
      <c r="H148" s="3">
        <v>21</v>
      </c>
      <c r="I148" s="49">
        <v>99.9</v>
      </c>
      <c r="J148" s="3" t="s">
        <v>354</v>
      </c>
      <c r="K148" s="54">
        <v>12</v>
      </c>
      <c r="L148" s="3"/>
    </row>
    <row r="149" spans="1:13" ht="14.5" thickBot="1" x14ac:dyDescent="0.35">
      <c r="A149" s="82">
        <v>45799</v>
      </c>
      <c r="B149" s="54" t="s">
        <v>40</v>
      </c>
      <c r="C149" s="49" t="s">
        <v>230</v>
      </c>
      <c r="D149" s="82">
        <v>45739</v>
      </c>
      <c r="E149" s="3">
        <v>150</v>
      </c>
      <c r="F149" s="3">
        <v>63</v>
      </c>
      <c r="G149" s="54"/>
      <c r="H149" s="3">
        <v>20</v>
      </c>
      <c r="I149" s="49">
        <v>99.9</v>
      </c>
      <c r="J149" s="3" t="s">
        <v>357</v>
      </c>
      <c r="K149" s="54">
        <v>20</v>
      </c>
      <c r="L149" s="3"/>
    </row>
    <row r="150" spans="1:13" ht="14.5" thickBot="1" x14ac:dyDescent="0.35">
      <c r="A150" s="82">
        <v>45800</v>
      </c>
      <c r="B150" s="54" t="s">
        <v>40</v>
      </c>
      <c r="C150" s="49" t="s">
        <v>230</v>
      </c>
      <c r="D150" s="82">
        <v>45739</v>
      </c>
      <c r="E150" s="3">
        <v>150</v>
      </c>
      <c r="F150" s="3">
        <v>66</v>
      </c>
      <c r="G150" s="54"/>
      <c r="H150" s="3">
        <v>25</v>
      </c>
      <c r="I150" s="49">
        <v>99.9</v>
      </c>
      <c r="J150" s="3" t="s">
        <v>358</v>
      </c>
      <c r="K150" s="54">
        <v>12</v>
      </c>
      <c r="L150" s="3"/>
    </row>
    <row r="151" spans="1:13" ht="14.5" thickBot="1" x14ac:dyDescent="0.35">
      <c r="A151" s="82">
        <v>45802</v>
      </c>
      <c r="B151" s="54" t="s">
        <v>40</v>
      </c>
      <c r="C151" s="49" t="s">
        <v>230</v>
      </c>
      <c r="D151" s="82">
        <v>45739</v>
      </c>
      <c r="E151" s="3">
        <v>150</v>
      </c>
      <c r="F151" s="3">
        <v>66</v>
      </c>
      <c r="G151" s="54"/>
      <c r="H151" s="3">
        <v>20</v>
      </c>
      <c r="I151" s="49">
        <v>99.9</v>
      </c>
      <c r="J151" s="3" t="s">
        <v>359</v>
      </c>
      <c r="K151" s="54">
        <v>16</v>
      </c>
      <c r="L151" s="3"/>
    </row>
    <row r="152" spans="1:13" ht="14.5" thickBot="1" x14ac:dyDescent="0.35">
      <c r="A152" s="82">
        <v>45802</v>
      </c>
      <c r="B152" s="54" t="s">
        <v>40</v>
      </c>
      <c r="C152" s="49" t="s">
        <v>230</v>
      </c>
      <c r="D152" s="82">
        <v>45753</v>
      </c>
      <c r="E152" s="3">
        <v>150</v>
      </c>
      <c r="F152" s="3">
        <v>57</v>
      </c>
      <c r="G152" s="54"/>
      <c r="H152" s="3">
        <v>20</v>
      </c>
      <c r="I152" s="49">
        <v>99.9</v>
      </c>
      <c r="J152" s="3" t="s">
        <v>360</v>
      </c>
      <c r="K152" s="54">
        <v>16</v>
      </c>
      <c r="L152" s="3"/>
    </row>
    <row r="153" spans="1:13" ht="14.5" thickBot="1" x14ac:dyDescent="0.35">
      <c r="A153" s="82">
        <v>45805</v>
      </c>
      <c r="B153" s="54" t="s">
        <v>40</v>
      </c>
      <c r="C153" s="49" t="s">
        <v>230</v>
      </c>
      <c r="D153" s="82">
        <v>45753</v>
      </c>
      <c r="E153" s="3">
        <v>150</v>
      </c>
      <c r="F153" s="3">
        <v>53</v>
      </c>
      <c r="G153" s="54"/>
      <c r="H153" s="3">
        <v>20</v>
      </c>
      <c r="I153" s="49">
        <v>99.9</v>
      </c>
      <c r="J153" s="3" t="s">
        <v>361</v>
      </c>
      <c r="K153" s="54">
        <v>17</v>
      </c>
      <c r="L153" s="3"/>
    </row>
    <row r="154" spans="1:13" ht="14.5" thickBot="1" x14ac:dyDescent="0.35">
      <c r="A154" s="82">
        <v>45806</v>
      </c>
      <c r="B154" s="54" t="s">
        <v>40</v>
      </c>
      <c r="C154" s="49" t="s">
        <v>230</v>
      </c>
      <c r="D154" s="82">
        <v>45753</v>
      </c>
      <c r="E154" s="3">
        <v>150</v>
      </c>
      <c r="F154" s="3">
        <v>55</v>
      </c>
      <c r="G154" s="54"/>
      <c r="H154" s="3">
        <v>19</v>
      </c>
      <c r="I154" s="49">
        <v>99.9</v>
      </c>
      <c r="J154" s="3" t="s">
        <v>362</v>
      </c>
      <c r="K154" s="54">
        <v>19</v>
      </c>
      <c r="L154" s="3" t="s">
        <v>363</v>
      </c>
      <c r="M154" s="3"/>
    </row>
    <row r="155" spans="1:13" ht="14.5" thickBot="1" x14ac:dyDescent="0.35">
      <c r="A155" s="82">
        <v>45807</v>
      </c>
      <c r="B155" s="54" t="s">
        <v>40</v>
      </c>
      <c r="C155" s="49" t="s">
        <v>230</v>
      </c>
      <c r="D155" s="82">
        <v>45753</v>
      </c>
      <c r="E155" s="3">
        <v>150</v>
      </c>
      <c r="F155" s="3">
        <v>55</v>
      </c>
      <c r="G155" s="54"/>
      <c r="H155" s="3">
        <v>20</v>
      </c>
      <c r="I155" s="49">
        <v>99.9</v>
      </c>
      <c r="J155" s="3" t="s">
        <v>364</v>
      </c>
      <c r="K155" s="54">
        <v>12</v>
      </c>
      <c r="L155" s="3"/>
    </row>
    <row r="156" spans="1:13" ht="14.5" thickBot="1" x14ac:dyDescent="0.35">
      <c r="A156" s="82">
        <v>45812</v>
      </c>
      <c r="B156" s="54" t="s">
        <v>40</v>
      </c>
      <c r="C156" s="49" t="s">
        <v>230</v>
      </c>
      <c r="D156" s="82">
        <v>45753</v>
      </c>
      <c r="E156" s="3">
        <v>150</v>
      </c>
      <c r="F156" s="3">
        <v>67</v>
      </c>
      <c r="G156" s="54"/>
      <c r="H156" s="3">
        <v>20</v>
      </c>
      <c r="I156" s="49">
        <v>99.9</v>
      </c>
      <c r="J156" s="3" t="s">
        <v>365</v>
      </c>
      <c r="K156" s="54">
        <v>25</v>
      </c>
      <c r="L156" s="3"/>
    </row>
    <row r="157" spans="1:13" ht="14.5" thickBot="1" x14ac:dyDescent="0.35">
      <c r="A157" s="82">
        <v>45813</v>
      </c>
      <c r="B157" s="54" t="s">
        <v>40</v>
      </c>
      <c r="C157" s="49" t="s">
        <v>230</v>
      </c>
      <c r="D157" s="82">
        <v>45748</v>
      </c>
      <c r="E157" s="3">
        <v>150</v>
      </c>
      <c r="F157" s="3">
        <v>62</v>
      </c>
      <c r="G157" s="54"/>
      <c r="H157" s="3">
        <v>20</v>
      </c>
      <c r="I157" s="49">
        <v>99.9</v>
      </c>
      <c r="J157" s="3" t="s">
        <v>366</v>
      </c>
      <c r="K157" s="54">
        <v>25</v>
      </c>
      <c r="L157" s="3"/>
    </row>
    <row r="158" spans="1:13" ht="14.5" thickBot="1" x14ac:dyDescent="0.35">
      <c r="A158" s="82">
        <v>45814</v>
      </c>
      <c r="B158" s="54" t="s">
        <v>40</v>
      </c>
      <c r="C158" s="49" t="s">
        <v>230</v>
      </c>
      <c r="D158" s="82">
        <v>45748</v>
      </c>
      <c r="E158" s="3">
        <v>150</v>
      </c>
      <c r="F158" s="3"/>
      <c r="G158" s="54"/>
      <c r="H158" s="3">
        <v>18</v>
      </c>
      <c r="I158" s="49">
        <v>99.9</v>
      </c>
      <c r="J158" s="3" t="s">
        <v>367</v>
      </c>
      <c r="K158" s="54">
        <v>17</v>
      </c>
      <c r="L158" s="3"/>
    </row>
    <row r="159" spans="1:13" ht="14.5" thickBot="1" x14ac:dyDescent="0.35">
      <c r="A159" s="82">
        <v>45816</v>
      </c>
      <c r="B159" s="54" t="s">
        <v>40</v>
      </c>
      <c r="C159" s="49" t="s">
        <v>230</v>
      </c>
      <c r="D159" s="82">
        <v>45748</v>
      </c>
      <c r="E159" s="3">
        <v>150</v>
      </c>
      <c r="F159" s="3">
        <v>68</v>
      </c>
      <c r="G159" s="54"/>
      <c r="H159" s="3">
        <v>20</v>
      </c>
      <c r="I159" s="49">
        <v>99.9</v>
      </c>
      <c r="J159" s="3" t="s">
        <v>368</v>
      </c>
      <c r="K159" s="54">
        <v>19</v>
      </c>
      <c r="L159" s="3"/>
    </row>
    <row r="160" spans="1:13" ht="14.5" thickBot="1" x14ac:dyDescent="0.35">
      <c r="A160" s="82">
        <v>45817</v>
      </c>
      <c r="B160" s="54" t="s">
        <v>40</v>
      </c>
      <c r="C160" s="49" t="s">
        <v>230</v>
      </c>
      <c r="D160" s="82">
        <v>45748</v>
      </c>
      <c r="E160" s="3">
        <v>150</v>
      </c>
      <c r="F160" s="3">
        <v>59</v>
      </c>
      <c r="G160" s="54"/>
      <c r="H160" s="3">
        <v>20</v>
      </c>
      <c r="I160" s="49">
        <v>99.9</v>
      </c>
      <c r="J160" s="3" t="s">
        <v>369</v>
      </c>
      <c r="K160" s="54">
        <v>19</v>
      </c>
      <c r="L160" s="3"/>
    </row>
    <row r="161" spans="1:12" ht="14.5" thickBot="1" x14ac:dyDescent="0.35">
      <c r="A161" s="82">
        <v>45818</v>
      </c>
      <c r="B161" s="54" t="s">
        <v>40</v>
      </c>
      <c r="C161" s="49" t="s">
        <v>230</v>
      </c>
      <c r="D161" s="82">
        <v>45748</v>
      </c>
      <c r="E161" s="3">
        <v>150</v>
      </c>
      <c r="F161" s="3">
        <v>54</v>
      </c>
      <c r="G161" s="54"/>
      <c r="H161" s="3">
        <v>17</v>
      </c>
      <c r="I161" s="49">
        <v>99.9</v>
      </c>
      <c r="J161" s="3" t="s">
        <v>370</v>
      </c>
      <c r="K161" s="54">
        <v>25</v>
      </c>
      <c r="L161" s="3"/>
    </row>
    <row r="162" spans="1:12" ht="14.5" thickBot="1" x14ac:dyDescent="0.35">
      <c r="A162" s="82">
        <v>45819</v>
      </c>
      <c r="B162" s="54" t="s">
        <v>39</v>
      </c>
      <c r="C162" s="49" t="s">
        <v>230</v>
      </c>
      <c r="D162" s="3" t="s">
        <v>19</v>
      </c>
      <c r="E162" s="3" t="s">
        <v>19</v>
      </c>
      <c r="F162" s="3">
        <v>55</v>
      </c>
      <c r="G162" s="54"/>
      <c r="H162" s="3">
        <v>20</v>
      </c>
      <c r="I162" s="49">
        <v>99.9</v>
      </c>
      <c r="J162" s="3" t="s">
        <v>375</v>
      </c>
      <c r="K162" s="54">
        <v>12</v>
      </c>
      <c r="L162" s="3"/>
    </row>
    <row r="163" spans="1:12" ht="14.5" thickBot="1" x14ac:dyDescent="0.35">
      <c r="A163" s="82">
        <v>45820</v>
      </c>
      <c r="B163" s="54" t="s">
        <v>33</v>
      </c>
      <c r="C163" s="88" t="s">
        <v>230</v>
      </c>
      <c r="D163" s="3" t="s">
        <v>19</v>
      </c>
      <c r="E163" s="3" t="s">
        <v>19</v>
      </c>
      <c r="F163" s="3">
        <v>55</v>
      </c>
      <c r="G163" s="54"/>
      <c r="H163" s="3">
        <v>25</v>
      </c>
      <c r="I163" s="49">
        <v>99.9</v>
      </c>
      <c r="J163" s="3" t="s">
        <v>375</v>
      </c>
      <c r="K163" s="54">
        <v>11</v>
      </c>
      <c r="L163" s="3"/>
    </row>
    <row r="164" spans="1:12" ht="14.5" thickBot="1" x14ac:dyDescent="0.35">
      <c r="A164" s="2">
        <v>45823</v>
      </c>
      <c r="B164" s="54" t="s">
        <v>177</v>
      </c>
      <c r="C164" s="88" t="s">
        <v>230</v>
      </c>
      <c r="D164" s="3" t="s">
        <v>19</v>
      </c>
      <c r="E164" s="3" t="s">
        <v>19</v>
      </c>
      <c r="F164" s="3">
        <v>55</v>
      </c>
      <c r="G164" s="54"/>
      <c r="H164" s="3">
        <v>20</v>
      </c>
      <c r="I164" s="49">
        <v>99.9</v>
      </c>
      <c r="J164" s="3" t="s">
        <v>383</v>
      </c>
      <c r="K164" s="54">
        <v>11</v>
      </c>
      <c r="L164" s="3"/>
    </row>
    <row r="165" spans="1:12" ht="14.5" thickBot="1" x14ac:dyDescent="0.35">
      <c r="A165" s="82">
        <v>45824</v>
      </c>
      <c r="B165" s="54" t="s">
        <v>40</v>
      </c>
      <c r="C165" s="49" t="s">
        <v>230</v>
      </c>
      <c r="D165" s="82">
        <v>45764</v>
      </c>
      <c r="E165" s="3">
        <v>150</v>
      </c>
      <c r="F165" s="3">
        <v>48</v>
      </c>
      <c r="G165" s="54"/>
      <c r="H165" s="3">
        <v>24</v>
      </c>
      <c r="I165" s="49">
        <v>99.9</v>
      </c>
      <c r="J165" s="3" t="s">
        <v>20</v>
      </c>
      <c r="K165" s="54">
        <v>17</v>
      </c>
      <c r="L165" s="3"/>
    </row>
    <row r="166" spans="1:12" ht="14.5" thickBot="1" x14ac:dyDescent="0.35">
      <c r="A166" s="82">
        <v>45825</v>
      </c>
      <c r="B166" s="54" t="s">
        <v>40</v>
      </c>
      <c r="C166" s="49" t="s">
        <v>230</v>
      </c>
      <c r="D166" s="82">
        <v>45764</v>
      </c>
      <c r="E166" s="3">
        <v>150</v>
      </c>
      <c r="F166" s="3">
        <v>45</v>
      </c>
      <c r="G166" s="54"/>
      <c r="H166" s="3">
        <v>22</v>
      </c>
      <c r="I166" s="49">
        <v>99.9</v>
      </c>
      <c r="J166" s="3" t="s">
        <v>192</v>
      </c>
      <c r="K166" s="54">
        <v>15</v>
      </c>
      <c r="L166" s="3"/>
    </row>
    <row r="167" spans="1:12" x14ac:dyDescent="0.3">
      <c r="A167" s="82">
        <v>45826</v>
      </c>
      <c r="B167" s="54" t="s">
        <v>40</v>
      </c>
      <c r="C167" s="49" t="s">
        <v>230</v>
      </c>
      <c r="D167" s="82">
        <v>45764</v>
      </c>
      <c r="E167" s="3">
        <v>150</v>
      </c>
      <c r="F167" s="3">
        <v>55</v>
      </c>
      <c r="G167" s="54"/>
      <c r="H167" s="3">
        <v>20</v>
      </c>
      <c r="I167" s="49">
        <v>99.9</v>
      </c>
      <c r="J167" s="3" t="s">
        <v>192</v>
      </c>
      <c r="K167" s="54">
        <v>17</v>
      </c>
      <c r="L167" s="3"/>
    </row>
    <row r="168" spans="1:12" x14ac:dyDescent="0.3">
      <c r="A168" s="82">
        <v>45827</v>
      </c>
      <c r="B168" s="54" t="s">
        <v>40</v>
      </c>
      <c r="C168" s="88" t="s">
        <v>231</v>
      </c>
      <c r="D168" s="82">
        <v>45764</v>
      </c>
      <c r="E168" s="3">
        <v>300</v>
      </c>
      <c r="F168" s="3">
        <v>60</v>
      </c>
      <c r="G168" s="54" t="s">
        <v>387</v>
      </c>
      <c r="H168" s="3">
        <v>25</v>
      </c>
      <c r="I168" s="3"/>
      <c r="J168" s="3" t="s">
        <v>385</v>
      </c>
      <c r="K168" s="54">
        <v>54</v>
      </c>
      <c r="L168" s="3" t="s">
        <v>384</v>
      </c>
    </row>
    <row r="169" spans="1:12" ht="14.5" thickBot="1" x14ac:dyDescent="0.35">
      <c r="A169" s="82">
        <v>45827</v>
      </c>
      <c r="B169" s="54" t="s">
        <v>40</v>
      </c>
      <c r="C169" s="88" t="s">
        <v>231</v>
      </c>
      <c r="D169" s="82">
        <v>45771</v>
      </c>
      <c r="E169" s="3">
        <v>200</v>
      </c>
      <c r="F169" s="3"/>
      <c r="G169" s="54"/>
      <c r="H169" s="3"/>
      <c r="I169" s="3"/>
      <c r="J169" s="3"/>
      <c r="K169" s="54"/>
      <c r="L169" s="3"/>
    </row>
    <row r="170" spans="1:12" ht="14.5" thickBot="1" x14ac:dyDescent="0.35">
      <c r="A170" s="82">
        <v>45828</v>
      </c>
      <c r="B170" s="54" t="s">
        <v>40</v>
      </c>
      <c r="C170" s="49" t="s">
        <v>230</v>
      </c>
      <c r="D170" s="82">
        <v>45771</v>
      </c>
      <c r="E170" s="3">
        <v>150</v>
      </c>
      <c r="F170" s="3">
        <v>42</v>
      </c>
      <c r="G170" s="54"/>
      <c r="H170" s="3">
        <v>20</v>
      </c>
      <c r="I170" s="54">
        <v>99.9</v>
      </c>
      <c r="J170" s="3" t="s">
        <v>41</v>
      </c>
      <c r="K170" s="54">
        <v>11</v>
      </c>
      <c r="L170" s="3"/>
    </row>
    <row r="171" spans="1:12" x14ac:dyDescent="0.3">
      <c r="A171" s="82">
        <v>45830</v>
      </c>
      <c r="B171" s="54" t="s">
        <v>40</v>
      </c>
      <c r="C171" s="49" t="s">
        <v>230</v>
      </c>
      <c r="D171" s="82">
        <v>45771</v>
      </c>
      <c r="E171" s="3">
        <v>150</v>
      </c>
      <c r="F171" s="3">
        <v>46</v>
      </c>
      <c r="G171" s="54"/>
      <c r="H171" s="3">
        <v>21</v>
      </c>
      <c r="I171" s="54">
        <v>99.9</v>
      </c>
      <c r="J171" s="3" t="s">
        <v>189</v>
      </c>
      <c r="K171" s="54">
        <v>14</v>
      </c>
      <c r="L171" s="3"/>
    </row>
    <row r="172" spans="1:12" ht="14.5" thickBot="1" x14ac:dyDescent="0.35">
      <c r="A172" s="82">
        <v>45831</v>
      </c>
      <c r="B172" s="54" t="s">
        <v>40</v>
      </c>
      <c r="C172" s="88" t="s">
        <v>231</v>
      </c>
      <c r="D172" s="82">
        <v>45776</v>
      </c>
      <c r="E172" s="3">
        <v>500</v>
      </c>
      <c r="F172" s="3">
        <v>55</v>
      </c>
      <c r="G172" s="92">
        <v>0.375</v>
      </c>
      <c r="H172" s="3">
        <v>23</v>
      </c>
      <c r="I172" s="3"/>
      <c r="J172" s="3" t="s">
        <v>388</v>
      </c>
      <c r="K172" s="54">
        <v>40</v>
      </c>
      <c r="L172" s="3"/>
    </row>
    <row r="173" spans="1:12" x14ac:dyDescent="0.3">
      <c r="A173" s="82">
        <v>45832</v>
      </c>
      <c r="B173" s="54" t="s">
        <v>40</v>
      </c>
      <c r="C173" s="49" t="s">
        <v>230</v>
      </c>
      <c r="D173" s="82">
        <v>45776</v>
      </c>
      <c r="E173" s="3">
        <v>150</v>
      </c>
      <c r="F173" s="3">
        <v>65</v>
      </c>
      <c r="G173" s="93"/>
      <c r="H173" s="3">
        <v>20</v>
      </c>
      <c r="I173" s="54">
        <v>99.9</v>
      </c>
      <c r="J173" s="3" t="s">
        <v>189</v>
      </c>
      <c r="K173" s="93">
        <v>17</v>
      </c>
      <c r="L173" s="3"/>
    </row>
    <row r="174" spans="1:12" x14ac:dyDescent="0.3">
      <c r="A174" s="82">
        <v>45833</v>
      </c>
      <c r="B174" s="54" t="s">
        <v>40</v>
      </c>
      <c r="C174" s="88" t="s">
        <v>231</v>
      </c>
      <c r="D174" s="82">
        <v>45783</v>
      </c>
      <c r="E174" s="3">
        <v>500</v>
      </c>
      <c r="F174" s="3">
        <v>58</v>
      </c>
      <c r="G174" s="96">
        <v>0.44791666666666669</v>
      </c>
      <c r="H174" s="3">
        <v>20</v>
      </c>
      <c r="I174" s="3"/>
      <c r="J174" s="3" t="s">
        <v>389</v>
      </c>
      <c r="K174" s="93">
        <v>57</v>
      </c>
      <c r="L174" s="3"/>
    </row>
    <row r="175" spans="1:12" ht="14.5" thickBot="1" x14ac:dyDescent="0.35">
      <c r="A175" s="97">
        <v>45834</v>
      </c>
      <c r="B175" s="54" t="s">
        <v>40</v>
      </c>
      <c r="C175" s="88" t="s">
        <v>231</v>
      </c>
      <c r="D175" s="82">
        <v>45783</v>
      </c>
      <c r="E175" s="3">
        <v>500</v>
      </c>
      <c r="F175" s="3">
        <v>56</v>
      </c>
      <c r="G175" s="96" t="s">
        <v>390</v>
      </c>
      <c r="H175" s="3">
        <v>20</v>
      </c>
      <c r="I175" s="3"/>
      <c r="J175" s="3" t="s">
        <v>391</v>
      </c>
      <c r="K175" s="93">
        <v>54</v>
      </c>
      <c r="L175" s="3"/>
    </row>
    <row r="176" spans="1:12" x14ac:dyDescent="0.3">
      <c r="A176" s="82">
        <v>45835</v>
      </c>
      <c r="B176" s="54" t="s">
        <v>40</v>
      </c>
      <c r="C176" s="49" t="s">
        <v>230</v>
      </c>
      <c r="D176" s="82">
        <v>45790</v>
      </c>
      <c r="E176" s="3">
        <v>150</v>
      </c>
      <c r="F176" s="3">
        <v>55</v>
      </c>
      <c r="G176" s="93"/>
      <c r="H176" s="3">
        <v>20</v>
      </c>
      <c r="I176" s="3"/>
      <c r="J176" s="3" t="s">
        <v>392</v>
      </c>
      <c r="K176" s="93">
        <v>13</v>
      </c>
      <c r="L176" s="3"/>
    </row>
    <row r="177" spans="1:12" ht="14.5" thickBot="1" x14ac:dyDescent="0.35">
      <c r="A177" s="82">
        <v>45837</v>
      </c>
      <c r="B177" s="54" t="s">
        <v>40</v>
      </c>
      <c r="C177" s="88" t="s">
        <v>231</v>
      </c>
      <c r="D177" s="82">
        <v>45790</v>
      </c>
      <c r="E177" s="3">
        <v>500</v>
      </c>
      <c r="F177" s="3">
        <v>60</v>
      </c>
      <c r="G177" s="96">
        <v>0.4513888888888889</v>
      </c>
      <c r="H177" s="3">
        <v>20</v>
      </c>
      <c r="I177" s="3"/>
      <c r="J177" s="3" t="s">
        <v>393</v>
      </c>
      <c r="K177" s="93">
        <v>52</v>
      </c>
      <c r="L177" s="3"/>
    </row>
    <row r="178" spans="1:12" ht="14.5" thickBot="1" x14ac:dyDescent="0.35">
      <c r="A178" s="82">
        <v>45838</v>
      </c>
      <c r="B178" s="54" t="s">
        <v>177</v>
      </c>
      <c r="C178" s="88" t="s">
        <v>230</v>
      </c>
      <c r="D178" s="3" t="s">
        <v>19</v>
      </c>
      <c r="E178" s="3" t="s">
        <v>19</v>
      </c>
      <c r="F178" s="3">
        <v>55</v>
      </c>
      <c r="G178" s="54"/>
      <c r="H178" s="3">
        <v>20</v>
      </c>
      <c r="I178" s="49">
        <v>99.9</v>
      </c>
      <c r="J178" s="3" t="s">
        <v>383</v>
      </c>
      <c r="K178" s="54">
        <v>11</v>
      </c>
      <c r="L178" s="3"/>
    </row>
    <row r="179" spans="1:12" x14ac:dyDescent="0.3">
      <c r="A179" s="82">
        <v>45839</v>
      </c>
      <c r="B179" s="54" t="s">
        <v>177</v>
      </c>
      <c r="C179" s="88" t="s">
        <v>230</v>
      </c>
      <c r="D179" s="3" t="s">
        <v>19</v>
      </c>
      <c r="E179" s="3" t="s">
        <v>19</v>
      </c>
      <c r="F179" s="3">
        <v>55</v>
      </c>
      <c r="G179" s="54"/>
      <c r="H179" s="3">
        <v>20</v>
      </c>
      <c r="I179" s="49">
        <v>99.9</v>
      </c>
      <c r="J179" s="3" t="s">
        <v>402</v>
      </c>
      <c r="K179" s="54">
        <v>11</v>
      </c>
      <c r="L179" s="3"/>
    </row>
    <row r="180" spans="1:12" x14ac:dyDescent="0.3">
      <c r="A180" s="82">
        <v>45840</v>
      </c>
      <c r="B180" s="54" t="s">
        <v>40</v>
      </c>
      <c r="C180" s="88" t="s">
        <v>231</v>
      </c>
      <c r="D180" s="82">
        <v>45790</v>
      </c>
      <c r="E180" s="3">
        <v>500</v>
      </c>
      <c r="F180" s="3">
        <v>63</v>
      </c>
      <c r="G180" s="96">
        <v>0.4513888888888889</v>
      </c>
      <c r="H180" s="3">
        <v>20</v>
      </c>
      <c r="I180" s="3"/>
      <c r="J180" s="3" t="s">
        <v>403</v>
      </c>
      <c r="K180" s="93">
        <v>59</v>
      </c>
      <c r="L180" s="3"/>
    </row>
    <row r="181" spans="1:12" ht="14.5" thickBot="1" x14ac:dyDescent="0.35">
      <c r="A181" s="82">
        <v>45841</v>
      </c>
      <c r="B181" s="54" t="s">
        <v>40</v>
      </c>
      <c r="C181" s="88" t="s">
        <v>231</v>
      </c>
      <c r="D181" s="82">
        <v>45802</v>
      </c>
      <c r="E181" s="3">
        <v>500</v>
      </c>
      <c r="F181" s="3">
        <v>60</v>
      </c>
      <c r="G181" s="96">
        <v>0.42708333333333331</v>
      </c>
      <c r="H181" s="3">
        <v>20</v>
      </c>
      <c r="I181" s="3"/>
      <c r="J181" s="3" t="s">
        <v>404</v>
      </c>
      <c r="K181" s="93">
        <v>54</v>
      </c>
      <c r="L181" s="3"/>
    </row>
    <row r="182" spans="1:12" x14ac:dyDescent="0.3">
      <c r="A182" s="82">
        <v>45842</v>
      </c>
      <c r="B182" s="54" t="s">
        <v>40</v>
      </c>
      <c r="C182" s="49" t="s">
        <v>230</v>
      </c>
      <c r="D182" s="82">
        <v>45802</v>
      </c>
      <c r="E182" s="3">
        <v>150</v>
      </c>
      <c r="F182" s="3">
        <v>54</v>
      </c>
      <c r="G182" s="96">
        <v>0.39930555555555558</v>
      </c>
      <c r="H182" s="3">
        <v>20</v>
      </c>
      <c r="I182" s="3"/>
      <c r="J182" s="3" t="s">
        <v>405</v>
      </c>
      <c r="K182" s="93">
        <v>17</v>
      </c>
      <c r="L182" s="3"/>
    </row>
    <row r="183" spans="1:12" x14ac:dyDescent="0.3">
      <c r="A183" s="82">
        <v>45844</v>
      </c>
      <c r="B183" s="54" t="s">
        <v>40</v>
      </c>
      <c r="C183" s="88" t="s">
        <v>231</v>
      </c>
      <c r="D183" s="82">
        <v>45802</v>
      </c>
      <c r="E183" s="3">
        <v>500</v>
      </c>
      <c r="F183" s="3">
        <v>57</v>
      </c>
      <c r="G183" s="96">
        <v>0.44444444444444442</v>
      </c>
      <c r="H183" s="3"/>
      <c r="I183" s="3"/>
      <c r="J183" s="3" t="s">
        <v>410</v>
      </c>
      <c r="K183" s="93">
        <v>57</v>
      </c>
      <c r="L183" s="3"/>
    </row>
    <row r="184" spans="1:12" ht="14.5" thickBot="1" x14ac:dyDescent="0.35">
      <c r="A184" s="82">
        <v>45847</v>
      </c>
      <c r="B184" s="54" t="s">
        <v>40</v>
      </c>
      <c r="C184" s="88" t="s">
        <v>231</v>
      </c>
      <c r="D184" s="82">
        <v>45806</v>
      </c>
      <c r="E184" s="3">
        <v>500</v>
      </c>
      <c r="F184" s="3">
        <v>60</v>
      </c>
      <c r="G184" s="96">
        <v>0.36388888888888887</v>
      </c>
      <c r="H184" s="3">
        <v>22</v>
      </c>
      <c r="I184" s="3"/>
      <c r="J184" s="3" t="s">
        <v>309</v>
      </c>
      <c r="K184" s="93">
        <v>54</v>
      </c>
      <c r="L184" s="3"/>
    </row>
    <row r="185" spans="1:12" ht="14.5" thickBot="1" x14ac:dyDescent="0.35">
      <c r="A185" s="82">
        <v>45848</v>
      </c>
      <c r="B185" s="54" t="s">
        <v>177</v>
      </c>
      <c r="C185" s="88" t="s">
        <v>230</v>
      </c>
      <c r="D185" s="3" t="s">
        <v>19</v>
      </c>
      <c r="E185" s="3" t="s">
        <v>19</v>
      </c>
      <c r="F185" s="3">
        <v>55</v>
      </c>
      <c r="G185" s="54"/>
      <c r="H185" s="3">
        <v>20</v>
      </c>
      <c r="I185" s="49">
        <v>99.9</v>
      </c>
      <c r="J185" s="3" t="s">
        <v>414</v>
      </c>
      <c r="K185" s="54">
        <v>11</v>
      </c>
      <c r="L185" s="3"/>
    </row>
    <row r="186" spans="1:12" ht="14.5" thickBot="1" x14ac:dyDescent="0.35">
      <c r="A186" s="82">
        <v>45849</v>
      </c>
      <c r="B186" s="54" t="s">
        <v>40</v>
      </c>
      <c r="C186" s="49" t="s">
        <v>230</v>
      </c>
      <c r="D186" s="82">
        <v>45806</v>
      </c>
      <c r="E186" s="3">
        <v>150</v>
      </c>
      <c r="F186" s="3">
        <v>60</v>
      </c>
      <c r="G186" s="96">
        <v>0.40277777777777779</v>
      </c>
      <c r="H186" s="3">
        <v>20</v>
      </c>
      <c r="I186" s="3"/>
      <c r="J186" s="3" t="s">
        <v>415</v>
      </c>
      <c r="K186" s="93">
        <v>12</v>
      </c>
      <c r="L186" s="3"/>
    </row>
    <row r="187" spans="1:12" ht="14.5" thickBot="1" x14ac:dyDescent="0.35">
      <c r="A187" s="82">
        <v>45851</v>
      </c>
      <c r="B187" s="54" t="s">
        <v>39</v>
      </c>
      <c r="C187" s="49" t="s">
        <v>230</v>
      </c>
      <c r="D187" s="3" t="s">
        <v>19</v>
      </c>
      <c r="E187" s="3" t="s">
        <v>19</v>
      </c>
      <c r="F187" s="3">
        <v>55</v>
      </c>
      <c r="G187" s="93"/>
      <c r="H187" s="3">
        <v>19</v>
      </c>
      <c r="I187" s="3"/>
      <c r="J187" s="3" t="s">
        <v>418</v>
      </c>
      <c r="K187" s="93">
        <v>11</v>
      </c>
      <c r="L187" s="3"/>
    </row>
    <row r="188" spans="1:12" ht="14.5" thickBot="1" x14ac:dyDescent="0.35">
      <c r="A188" s="82">
        <v>45863</v>
      </c>
      <c r="B188" s="54" t="s">
        <v>40</v>
      </c>
      <c r="C188" s="49" t="s">
        <v>230</v>
      </c>
      <c r="D188" s="82">
        <v>45806</v>
      </c>
      <c r="E188" s="3">
        <v>150</v>
      </c>
      <c r="F188" s="3">
        <v>53</v>
      </c>
      <c r="G188" s="92">
        <v>0.41666666666666669</v>
      </c>
      <c r="H188" s="3">
        <v>20</v>
      </c>
      <c r="I188" s="3">
        <v>99.9</v>
      </c>
      <c r="J188" s="3" t="s">
        <v>163</v>
      </c>
      <c r="K188" s="54">
        <v>15</v>
      </c>
      <c r="L188" s="3"/>
    </row>
    <row r="189" spans="1:12" ht="14.5" thickBot="1" x14ac:dyDescent="0.35">
      <c r="A189" s="82">
        <v>45866</v>
      </c>
      <c r="B189" s="54" t="s">
        <v>40</v>
      </c>
      <c r="C189" s="49" t="s">
        <v>231</v>
      </c>
      <c r="D189" s="82">
        <v>45813</v>
      </c>
      <c r="E189" s="3">
        <v>500</v>
      </c>
      <c r="F189" s="3">
        <v>55</v>
      </c>
      <c r="G189" s="92">
        <v>0.44791666666666669</v>
      </c>
      <c r="H189" s="3">
        <v>20</v>
      </c>
      <c r="I189" s="3"/>
      <c r="J189" s="3" t="s">
        <v>420</v>
      </c>
      <c r="K189" s="54">
        <v>53</v>
      </c>
      <c r="L189" s="3"/>
    </row>
    <row r="190" spans="1:12" ht="14.5" thickBot="1" x14ac:dyDescent="0.35">
      <c r="A190" s="82">
        <v>45867</v>
      </c>
      <c r="B190" s="54" t="s">
        <v>40</v>
      </c>
      <c r="C190" s="49" t="s">
        <v>231</v>
      </c>
      <c r="D190" s="82">
        <v>45813</v>
      </c>
      <c r="E190" s="3">
        <v>500</v>
      </c>
      <c r="F190" s="3">
        <v>55</v>
      </c>
      <c r="G190" s="92">
        <v>0.43055555555555558</v>
      </c>
      <c r="H190" s="3">
        <v>22</v>
      </c>
      <c r="I190" s="3"/>
      <c r="J190" s="3" t="s">
        <v>422</v>
      </c>
      <c r="K190" s="54">
        <v>53</v>
      </c>
      <c r="L190" s="3"/>
    </row>
    <row r="191" spans="1:12" ht="14.5" thickBot="1" x14ac:dyDescent="0.35">
      <c r="A191" s="82">
        <v>45868</v>
      </c>
      <c r="B191" s="54" t="s">
        <v>40</v>
      </c>
      <c r="C191" s="49" t="s">
        <v>231</v>
      </c>
      <c r="D191" s="82">
        <v>45814</v>
      </c>
      <c r="E191" s="3">
        <v>500</v>
      </c>
      <c r="F191" s="3">
        <v>67</v>
      </c>
      <c r="G191" s="92">
        <v>0.4861111111111111</v>
      </c>
      <c r="H191" s="3">
        <v>20</v>
      </c>
      <c r="I191" s="3"/>
      <c r="J191" s="3" t="s">
        <v>423</v>
      </c>
      <c r="K191" s="54">
        <v>55</v>
      </c>
      <c r="L191" s="3"/>
    </row>
    <row r="192" spans="1:12" ht="14.5" thickBot="1" x14ac:dyDescent="0.35">
      <c r="A192" s="82">
        <v>45869</v>
      </c>
      <c r="B192" s="54" t="s">
        <v>40</v>
      </c>
      <c r="C192" s="49" t="s">
        <v>230</v>
      </c>
      <c r="D192" s="82">
        <v>45814</v>
      </c>
      <c r="E192" s="3">
        <v>150</v>
      </c>
      <c r="F192" s="3">
        <v>65</v>
      </c>
      <c r="G192" s="92">
        <v>0.41666666666666669</v>
      </c>
      <c r="H192" s="3">
        <v>22</v>
      </c>
      <c r="I192" s="3"/>
      <c r="J192" s="3" t="s">
        <v>424</v>
      </c>
      <c r="K192" s="54">
        <v>23</v>
      </c>
      <c r="L192" s="3"/>
    </row>
    <row r="193" spans="1:12" ht="14.5" thickBot="1" x14ac:dyDescent="0.35">
      <c r="A193" s="82">
        <v>45870</v>
      </c>
      <c r="B193" s="54" t="s">
        <v>40</v>
      </c>
      <c r="C193" s="49" t="s">
        <v>230</v>
      </c>
      <c r="D193" s="82">
        <v>45814</v>
      </c>
      <c r="E193" s="3">
        <v>150</v>
      </c>
      <c r="F193" s="3">
        <v>63</v>
      </c>
      <c r="G193" s="92">
        <v>0.40625</v>
      </c>
      <c r="H193" s="3">
        <v>15</v>
      </c>
      <c r="I193" s="3"/>
      <c r="J193" s="3" t="s">
        <v>425</v>
      </c>
      <c r="K193" s="54">
        <v>17</v>
      </c>
      <c r="L193" s="3"/>
    </row>
    <row r="194" spans="1:12" ht="14.5" thickBot="1" x14ac:dyDescent="0.35">
      <c r="A194" s="82">
        <v>45872</v>
      </c>
      <c r="B194" s="54" t="s">
        <v>40</v>
      </c>
      <c r="C194" s="49" t="s">
        <v>231</v>
      </c>
      <c r="D194" s="82">
        <v>45814</v>
      </c>
      <c r="E194" s="3">
        <v>400</v>
      </c>
      <c r="F194" s="3">
        <v>65</v>
      </c>
      <c r="G194" s="92">
        <v>0.4375</v>
      </c>
      <c r="H194" s="3">
        <v>22</v>
      </c>
      <c r="I194" s="3"/>
      <c r="J194" s="3" t="s">
        <v>427</v>
      </c>
      <c r="K194" s="54">
        <v>44</v>
      </c>
      <c r="L194" s="3"/>
    </row>
    <row r="195" spans="1:12" ht="14.5" thickBot="1" x14ac:dyDescent="0.35">
      <c r="A195" s="82">
        <v>45873</v>
      </c>
      <c r="B195" s="54" t="s">
        <v>40</v>
      </c>
      <c r="C195" s="49" t="s">
        <v>230</v>
      </c>
      <c r="D195" s="82">
        <v>45816</v>
      </c>
      <c r="E195" s="3">
        <v>150</v>
      </c>
      <c r="F195" s="3">
        <v>70</v>
      </c>
      <c r="G195" s="92">
        <v>0.4236111111111111</v>
      </c>
      <c r="H195" s="3">
        <v>20</v>
      </c>
      <c r="I195" s="3"/>
      <c r="J195" s="3" t="s">
        <v>199</v>
      </c>
      <c r="K195" s="54">
        <v>17</v>
      </c>
      <c r="L195" s="3"/>
    </row>
    <row r="196" spans="1:12" x14ac:dyDescent="0.3">
      <c r="A196" s="82">
        <v>45874</v>
      </c>
      <c r="B196" s="54" t="s">
        <v>40</v>
      </c>
      <c r="C196" s="49" t="s">
        <v>231</v>
      </c>
      <c r="D196" s="82">
        <v>45816</v>
      </c>
      <c r="E196" s="3">
        <v>500</v>
      </c>
      <c r="F196" s="3">
        <v>63</v>
      </c>
      <c r="G196" s="92">
        <v>0.42708333333333331</v>
      </c>
      <c r="H196" s="3">
        <v>24</v>
      </c>
      <c r="I196" s="3"/>
      <c r="J196" s="3" t="s">
        <v>428</v>
      </c>
      <c r="K196" s="54">
        <v>50</v>
      </c>
      <c r="L196" s="3"/>
    </row>
    <row r="197" spans="1:12" ht="14.5" thickBot="1" x14ac:dyDescent="0.35">
      <c r="A197" s="2">
        <v>45883</v>
      </c>
      <c r="B197" s="54" t="s">
        <v>177</v>
      </c>
      <c r="C197" s="88" t="s">
        <v>230</v>
      </c>
      <c r="D197" s="3" t="s">
        <v>19</v>
      </c>
      <c r="E197" s="3" t="s">
        <v>19</v>
      </c>
      <c r="F197" s="3">
        <v>55</v>
      </c>
      <c r="G197" s="54"/>
      <c r="H197" s="3">
        <v>25</v>
      </c>
      <c r="I197" s="3"/>
      <c r="J197" s="3" t="s">
        <v>432</v>
      </c>
      <c r="K197" s="54"/>
      <c r="L197" s="3"/>
    </row>
    <row r="198" spans="1:12" ht="14.5" thickBot="1" x14ac:dyDescent="0.35">
      <c r="A198" s="82">
        <v>45883</v>
      </c>
      <c r="B198" s="54" t="s">
        <v>40</v>
      </c>
      <c r="C198" s="49" t="s">
        <v>231</v>
      </c>
      <c r="D198" s="82">
        <v>45834</v>
      </c>
      <c r="E198" s="3">
        <v>400</v>
      </c>
      <c r="F198" s="3">
        <v>55</v>
      </c>
      <c r="G198" s="92">
        <v>0.40972222222222221</v>
      </c>
      <c r="H198" s="3">
        <v>20</v>
      </c>
      <c r="I198" s="3">
        <v>99.1</v>
      </c>
      <c r="J198" s="3" t="s">
        <v>433</v>
      </c>
      <c r="K198" s="54">
        <v>50</v>
      </c>
      <c r="L198" s="3"/>
    </row>
    <row r="199" spans="1:12" ht="14.5" thickBot="1" x14ac:dyDescent="0.35">
      <c r="A199" s="82">
        <v>45884</v>
      </c>
      <c r="B199" s="54" t="s">
        <v>40</v>
      </c>
      <c r="C199" s="49" t="s">
        <v>230</v>
      </c>
      <c r="D199" s="82">
        <v>45834</v>
      </c>
      <c r="E199" s="3">
        <v>100</v>
      </c>
      <c r="F199" s="3">
        <v>56</v>
      </c>
      <c r="G199" s="92">
        <v>0.39583333333333331</v>
      </c>
      <c r="H199" s="3">
        <v>25</v>
      </c>
      <c r="I199" s="3"/>
      <c r="J199" s="3" t="s">
        <v>158</v>
      </c>
      <c r="K199" s="54">
        <v>12</v>
      </c>
      <c r="L199" s="3"/>
    </row>
    <row r="200" spans="1:12" ht="14.5" thickBot="1" x14ac:dyDescent="0.35">
      <c r="A200" s="82">
        <v>45886</v>
      </c>
      <c r="B200" s="54" t="s">
        <v>40</v>
      </c>
      <c r="C200" s="49" t="s">
        <v>231</v>
      </c>
      <c r="D200" s="46">
        <v>45834</v>
      </c>
      <c r="E200" s="3">
        <v>450</v>
      </c>
      <c r="F200" s="3">
        <v>49</v>
      </c>
      <c r="G200" s="92" t="s">
        <v>436</v>
      </c>
      <c r="H200" s="3">
        <v>25</v>
      </c>
      <c r="I200" s="3">
        <v>99.1</v>
      </c>
      <c r="J200" s="3" t="s">
        <v>186</v>
      </c>
      <c r="K200" s="54">
        <v>30</v>
      </c>
      <c r="L200" s="3"/>
    </row>
    <row r="201" spans="1:12" ht="14.5" thickBot="1" x14ac:dyDescent="0.35">
      <c r="A201" s="82">
        <v>45887</v>
      </c>
      <c r="B201" s="54" t="s">
        <v>40</v>
      </c>
      <c r="C201" s="49" t="s">
        <v>231</v>
      </c>
      <c r="D201" s="46" t="s">
        <v>434</v>
      </c>
      <c r="E201" s="3">
        <v>400</v>
      </c>
      <c r="F201" s="3">
        <v>44</v>
      </c>
      <c r="G201" s="54" t="s">
        <v>435</v>
      </c>
      <c r="H201" s="3">
        <v>20</v>
      </c>
      <c r="I201" s="3">
        <v>99</v>
      </c>
      <c r="J201" s="3" t="s">
        <v>192</v>
      </c>
      <c r="K201" s="54">
        <v>30</v>
      </c>
      <c r="L201" s="3"/>
    </row>
    <row r="202" spans="1:12" ht="14.5" thickBot="1" x14ac:dyDescent="0.35">
      <c r="A202" s="82">
        <v>45887</v>
      </c>
      <c r="B202" s="54" t="s">
        <v>40</v>
      </c>
      <c r="C202" s="49" t="s">
        <v>231</v>
      </c>
      <c r="D202" s="46" t="s">
        <v>434</v>
      </c>
      <c r="E202" s="3">
        <v>400</v>
      </c>
      <c r="F202" s="3">
        <v>50</v>
      </c>
      <c r="G202" s="54" t="s">
        <v>437</v>
      </c>
      <c r="H202" s="3">
        <v>25</v>
      </c>
      <c r="I202" s="3"/>
      <c r="J202" s="3" t="s">
        <v>438</v>
      </c>
      <c r="K202" s="54">
        <v>25</v>
      </c>
      <c r="L202" s="3"/>
    </row>
    <row r="203" spans="1:12" ht="14.5" thickBot="1" x14ac:dyDescent="0.35">
      <c r="A203" s="82">
        <v>45888</v>
      </c>
      <c r="B203" s="54" t="s">
        <v>40</v>
      </c>
      <c r="C203" s="49" t="s">
        <v>231</v>
      </c>
      <c r="D203" s="46" t="s">
        <v>434</v>
      </c>
      <c r="E203" s="3">
        <v>100</v>
      </c>
      <c r="F203" s="3">
        <v>63</v>
      </c>
      <c r="G203" s="54" t="s">
        <v>439</v>
      </c>
      <c r="H203" s="3">
        <v>20</v>
      </c>
      <c r="I203" s="3">
        <v>98</v>
      </c>
      <c r="J203" s="3" t="s">
        <v>440</v>
      </c>
      <c r="K203" s="54">
        <v>55</v>
      </c>
      <c r="L203" s="3"/>
    </row>
    <row r="204" spans="1:12" x14ac:dyDescent="0.3">
      <c r="A204" s="82">
        <v>45888</v>
      </c>
      <c r="B204" s="54" t="s">
        <v>40</v>
      </c>
      <c r="C204" s="49" t="s">
        <v>231</v>
      </c>
      <c r="D204" s="82">
        <v>45840</v>
      </c>
      <c r="E204" s="3">
        <v>400</v>
      </c>
      <c r="F204" s="3">
        <v>60</v>
      </c>
      <c r="G204" s="54" t="s">
        <v>439</v>
      </c>
      <c r="H204" s="3">
        <v>20</v>
      </c>
      <c r="I204" s="3">
        <v>98</v>
      </c>
      <c r="J204" s="3" t="s">
        <v>440</v>
      </c>
      <c r="K204" s="54">
        <v>50</v>
      </c>
      <c r="L204" s="3"/>
    </row>
    <row r="205" spans="1:12" x14ac:dyDescent="0.3">
      <c r="A205" s="82">
        <v>45889</v>
      </c>
      <c r="B205" s="54" t="s">
        <v>33</v>
      </c>
      <c r="C205" s="88" t="s">
        <v>230</v>
      </c>
      <c r="D205" s="3" t="s">
        <v>19</v>
      </c>
      <c r="E205" s="3" t="s">
        <v>19</v>
      </c>
      <c r="F205" s="3">
        <v>55</v>
      </c>
      <c r="G205" s="54"/>
      <c r="H205" s="3">
        <v>20</v>
      </c>
      <c r="I205" s="3"/>
      <c r="J205" s="16" t="s">
        <v>445</v>
      </c>
      <c r="K205" s="54">
        <v>11</v>
      </c>
      <c r="L205" s="3"/>
    </row>
    <row r="206" spans="1:12" x14ac:dyDescent="0.3">
      <c r="A206" s="82">
        <v>45890</v>
      </c>
      <c r="B206" s="54" t="s">
        <v>39</v>
      </c>
      <c r="C206" s="88" t="s">
        <v>230</v>
      </c>
      <c r="D206" s="3" t="s">
        <v>19</v>
      </c>
      <c r="E206" s="3" t="s">
        <v>19</v>
      </c>
      <c r="F206" s="3">
        <v>55</v>
      </c>
      <c r="G206" s="54"/>
      <c r="H206" s="3">
        <v>22</v>
      </c>
      <c r="I206" s="3"/>
      <c r="J206" s="3" t="s">
        <v>450</v>
      </c>
      <c r="K206" s="54">
        <v>11</v>
      </c>
      <c r="L206" s="3"/>
    </row>
    <row r="207" spans="1:12" x14ac:dyDescent="0.3">
      <c r="A207" s="82">
        <v>45891</v>
      </c>
      <c r="B207" s="54" t="s">
        <v>40</v>
      </c>
      <c r="C207" s="88" t="s">
        <v>230</v>
      </c>
      <c r="D207" s="82">
        <v>45840</v>
      </c>
      <c r="E207" s="3">
        <v>130</v>
      </c>
      <c r="F207" s="3">
        <v>46</v>
      </c>
      <c r="G207" s="54"/>
      <c r="H207" s="3">
        <v>25</v>
      </c>
      <c r="I207" s="3"/>
      <c r="J207" s="3" t="s">
        <v>451</v>
      </c>
      <c r="K207" s="54">
        <v>11</v>
      </c>
      <c r="L207" s="3"/>
    </row>
    <row r="208" spans="1:12" x14ac:dyDescent="0.3">
      <c r="A208" s="82">
        <v>45893</v>
      </c>
      <c r="B208" s="54" t="s">
        <v>177</v>
      </c>
      <c r="C208" s="88" t="s">
        <v>230</v>
      </c>
      <c r="D208" s="3" t="s">
        <v>19</v>
      </c>
      <c r="E208" s="3" t="s">
        <v>19</v>
      </c>
      <c r="F208" s="3">
        <v>55</v>
      </c>
      <c r="G208" s="54"/>
      <c r="H208" s="3"/>
      <c r="I208" s="3"/>
      <c r="J208" s="3" t="s">
        <v>455</v>
      </c>
      <c r="K208" s="54">
        <v>15</v>
      </c>
      <c r="L208" s="3"/>
    </row>
    <row r="209" spans="1:12" ht="14.5" thickBot="1" x14ac:dyDescent="0.35">
      <c r="A209" s="82">
        <v>45894</v>
      </c>
      <c r="B209" s="54" t="s">
        <v>177</v>
      </c>
      <c r="C209" s="88" t="s">
        <v>230</v>
      </c>
      <c r="D209" s="3" t="s">
        <v>19</v>
      </c>
      <c r="E209" s="3" t="s">
        <v>19</v>
      </c>
      <c r="F209" s="3">
        <v>55</v>
      </c>
      <c r="G209" s="54"/>
      <c r="H209" s="3"/>
      <c r="I209" s="3"/>
      <c r="J209" s="3" t="s">
        <v>459</v>
      </c>
      <c r="K209" s="54">
        <v>11</v>
      </c>
      <c r="L209" s="3"/>
    </row>
    <row r="210" spans="1:12" ht="14.5" thickBot="1" x14ac:dyDescent="0.35">
      <c r="A210" s="82">
        <v>45895</v>
      </c>
      <c r="B210" s="54" t="s">
        <v>40</v>
      </c>
      <c r="C210" s="49" t="s">
        <v>231</v>
      </c>
      <c r="D210" s="82">
        <v>45840</v>
      </c>
      <c r="E210" s="3">
        <v>400</v>
      </c>
      <c r="F210" s="3">
        <v>57</v>
      </c>
      <c r="G210" s="54" t="s">
        <v>460</v>
      </c>
      <c r="H210" s="3">
        <v>25</v>
      </c>
      <c r="I210" s="3"/>
      <c r="J210" s="3" t="s">
        <v>463</v>
      </c>
      <c r="K210" s="54">
        <v>38</v>
      </c>
      <c r="L210" s="3"/>
    </row>
    <row r="211" spans="1:12" ht="14.5" thickBot="1" x14ac:dyDescent="0.35">
      <c r="A211" s="82">
        <v>45896</v>
      </c>
      <c r="B211" s="54" t="s">
        <v>40</v>
      </c>
      <c r="C211" s="49" t="s">
        <v>231</v>
      </c>
      <c r="D211" s="82">
        <v>45840</v>
      </c>
      <c r="E211" s="3">
        <v>150</v>
      </c>
      <c r="F211" s="3">
        <v>60</v>
      </c>
      <c r="G211" s="54" t="s">
        <v>464</v>
      </c>
      <c r="H211" s="3">
        <v>25</v>
      </c>
      <c r="I211" s="3"/>
      <c r="J211" s="3" t="s">
        <v>465</v>
      </c>
      <c r="K211" s="54">
        <v>66</v>
      </c>
      <c r="L211" s="3"/>
    </row>
    <row r="212" spans="1:12" x14ac:dyDescent="0.3">
      <c r="A212" s="82">
        <v>45896</v>
      </c>
      <c r="B212" s="54" t="s">
        <v>40</v>
      </c>
      <c r="C212" s="49" t="s">
        <v>231</v>
      </c>
      <c r="D212" s="82">
        <v>45844</v>
      </c>
      <c r="E212" s="3">
        <v>300</v>
      </c>
      <c r="F212" s="3"/>
      <c r="G212" s="54"/>
      <c r="H212" s="3"/>
      <c r="I212" s="3"/>
      <c r="J212" s="3"/>
      <c r="K212" s="54"/>
      <c r="L212" s="3"/>
    </row>
    <row r="213" spans="1:12" ht="14.5" thickBot="1" x14ac:dyDescent="0.35">
      <c r="A213" s="82">
        <v>45898</v>
      </c>
      <c r="B213" s="54" t="s">
        <v>40</v>
      </c>
      <c r="C213" s="88" t="s">
        <v>230</v>
      </c>
      <c r="D213" s="82">
        <v>45844</v>
      </c>
      <c r="E213" s="3">
        <v>150</v>
      </c>
      <c r="F213" s="3">
        <v>65</v>
      </c>
      <c r="G213" s="92">
        <v>0.40277777777777779</v>
      </c>
      <c r="H213" s="3">
        <v>23</v>
      </c>
      <c r="I213" s="3"/>
      <c r="J213" s="3" t="s">
        <v>466</v>
      </c>
      <c r="K213" s="54">
        <v>20</v>
      </c>
      <c r="L213" s="3"/>
    </row>
    <row r="214" spans="1:12" ht="14.5" thickBot="1" x14ac:dyDescent="0.35">
      <c r="A214" s="82">
        <v>45900</v>
      </c>
      <c r="B214" s="54" t="s">
        <v>40</v>
      </c>
      <c r="C214" s="49" t="s">
        <v>231</v>
      </c>
      <c r="D214" s="82">
        <v>45844</v>
      </c>
      <c r="E214" s="3">
        <v>450</v>
      </c>
      <c r="F214" s="3">
        <v>64</v>
      </c>
      <c r="G214" s="92" t="s">
        <v>467</v>
      </c>
      <c r="H214" s="3">
        <v>20</v>
      </c>
      <c r="I214" s="3">
        <v>99</v>
      </c>
      <c r="J214" s="3" t="s">
        <v>468</v>
      </c>
      <c r="K214" s="54"/>
      <c r="L214" s="3"/>
    </row>
    <row r="215" spans="1:12" ht="14.5" thickBot="1" x14ac:dyDescent="0.35">
      <c r="A215" s="82">
        <v>45907</v>
      </c>
      <c r="B215" s="54" t="s">
        <v>40</v>
      </c>
      <c r="C215" s="49" t="s">
        <v>231</v>
      </c>
      <c r="D215" s="82">
        <v>45863</v>
      </c>
      <c r="E215" s="3">
        <v>450</v>
      </c>
      <c r="F215" s="3">
        <v>63</v>
      </c>
      <c r="G215" s="54" t="s">
        <v>469</v>
      </c>
      <c r="H215" s="3"/>
      <c r="I215" s="3">
        <v>97</v>
      </c>
      <c r="J215" s="3" t="s">
        <v>470</v>
      </c>
      <c r="K215" s="54">
        <v>44</v>
      </c>
      <c r="L215" s="3"/>
    </row>
    <row r="216" spans="1:12" ht="14.5" thickBot="1" x14ac:dyDescent="0.35">
      <c r="A216" s="82">
        <v>45909</v>
      </c>
      <c r="B216" s="54" t="s">
        <v>40</v>
      </c>
      <c r="C216" s="49" t="s">
        <v>231</v>
      </c>
      <c r="D216" s="82">
        <v>45863</v>
      </c>
      <c r="E216" s="3">
        <v>450</v>
      </c>
      <c r="F216" s="3">
        <v>65</v>
      </c>
      <c r="G216" s="54" t="s">
        <v>471</v>
      </c>
      <c r="H216" s="3"/>
      <c r="I216" s="3"/>
      <c r="J216" s="83" t="s">
        <v>472</v>
      </c>
      <c r="K216" s="54">
        <v>65</v>
      </c>
      <c r="L216" s="3" t="s">
        <v>473</v>
      </c>
    </row>
    <row r="217" spans="1:12" x14ac:dyDescent="0.3">
      <c r="A217" s="82">
        <v>45911</v>
      </c>
      <c r="B217" s="54" t="s">
        <v>40</v>
      </c>
      <c r="C217" s="49" t="s">
        <v>231</v>
      </c>
      <c r="D217" s="82">
        <v>45868</v>
      </c>
      <c r="E217" s="3">
        <v>450</v>
      </c>
      <c r="F217" s="3">
        <v>64</v>
      </c>
      <c r="G217" s="54" t="s">
        <v>474</v>
      </c>
      <c r="H217" s="3">
        <v>25</v>
      </c>
      <c r="I217" s="3">
        <v>98</v>
      </c>
      <c r="J217" s="3" t="s">
        <v>475</v>
      </c>
      <c r="K217" s="54">
        <v>62</v>
      </c>
      <c r="L217" s="3"/>
    </row>
    <row r="218" spans="1:12" x14ac:dyDescent="0.3">
      <c r="A218" t="s">
        <v>476</v>
      </c>
      <c r="B218" s="54" t="s">
        <v>39</v>
      </c>
      <c r="C218" s="88" t="s">
        <v>230</v>
      </c>
      <c r="D218" s="3" t="s">
        <v>19</v>
      </c>
      <c r="E218" s="3" t="s">
        <v>19</v>
      </c>
      <c r="F218" s="3">
        <v>55</v>
      </c>
      <c r="G218" s="54"/>
      <c r="H218" s="3">
        <v>20</v>
      </c>
      <c r="I218" s="3"/>
      <c r="J218" s="3" t="s">
        <v>483</v>
      </c>
      <c r="K218" s="54">
        <v>8</v>
      </c>
      <c r="L218" s="3"/>
    </row>
    <row r="219" spans="1:12" ht="14.5" thickBot="1" x14ac:dyDescent="0.35">
      <c r="A219" t="s">
        <v>484</v>
      </c>
      <c r="B219" s="54" t="s">
        <v>33</v>
      </c>
      <c r="C219" s="88" t="s">
        <v>230</v>
      </c>
      <c r="D219" s="3" t="s">
        <v>19</v>
      </c>
      <c r="E219" s="3" t="s">
        <v>19</v>
      </c>
      <c r="F219" s="3">
        <v>55</v>
      </c>
      <c r="G219" s="54"/>
      <c r="H219" s="3">
        <v>20</v>
      </c>
      <c r="I219" s="3"/>
      <c r="J219" s="3" t="s">
        <v>488</v>
      </c>
      <c r="K219" s="54" t="s">
        <v>489</v>
      </c>
      <c r="L219" s="3"/>
    </row>
    <row r="220" spans="1:12" x14ac:dyDescent="0.3">
      <c r="A220" s="3" t="s">
        <v>490</v>
      </c>
      <c r="B220" s="54" t="s">
        <v>40</v>
      </c>
      <c r="C220" s="49" t="s">
        <v>231</v>
      </c>
      <c r="D220" s="82">
        <v>45868</v>
      </c>
      <c r="E220" s="3">
        <v>450</v>
      </c>
      <c r="F220" s="3">
        <v>66</v>
      </c>
      <c r="G220" s="54" t="s">
        <v>491</v>
      </c>
      <c r="H220" s="3">
        <v>20</v>
      </c>
      <c r="I220" s="3">
        <v>98</v>
      </c>
      <c r="J220" s="83" t="s">
        <v>492</v>
      </c>
      <c r="K220" s="54">
        <v>60</v>
      </c>
      <c r="L220" s="3"/>
    </row>
    <row r="221" spans="1:12" x14ac:dyDescent="0.3">
      <c r="A221" s="3" t="s">
        <v>493</v>
      </c>
      <c r="B221" s="54" t="s">
        <v>40</v>
      </c>
      <c r="C221" s="88" t="s">
        <v>230</v>
      </c>
      <c r="D221" s="82">
        <v>45872</v>
      </c>
      <c r="E221" s="3">
        <v>150</v>
      </c>
      <c r="F221" s="3">
        <v>70</v>
      </c>
      <c r="G221" s="92">
        <v>0.40625</v>
      </c>
      <c r="H221" s="3"/>
      <c r="I221" s="3"/>
      <c r="J221" s="83" t="s">
        <v>461</v>
      </c>
      <c r="K221" s="54">
        <v>20</v>
      </c>
      <c r="L221" s="3"/>
    </row>
    <row r="222" spans="1:12" ht="14.5" thickBot="1" x14ac:dyDescent="0.35">
      <c r="A222" s="3" t="s">
        <v>494</v>
      </c>
      <c r="B222" s="54" t="s">
        <v>40</v>
      </c>
      <c r="C222" s="88" t="s">
        <v>230</v>
      </c>
      <c r="D222" s="82">
        <v>45872</v>
      </c>
      <c r="E222" s="3">
        <v>150</v>
      </c>
      <c r="F222" s="3">
        <v>65</v>
      </c>
      <c r="G222" s="92">
        <v>0.39583333333333331</v>
      </c>
      <c r="H222" s="3">
        <v>25</v>
      </c>
      <c r="I222" s="3"/>
      <c r="J222" s="83" t="s">
        <v>496</v>
      </c>
      <c r="K222" s="99">
        <v>22</v>
      </c>
      <c r="L222" s="3"/>
    </row>
    <row r="223" spans="1:12" x14ac:dyDescent="0.3">
      <c r="A223" s="3" t="s">
        <v>497</v>
      </c>
      <c r="B223" s="54" t="s">
        <v>40</v>
      </c>
      <c r="C223" s="49" t="s">
        <v>231</v>
      </c>
      <c r="D223" s="82">
        <v>45872</v>
      </c>
      <c r="E223" s="3">
        <v>450</v>
      </c>
      <c r="F223" s="3">
        <v>71</v>
      </c>
      <c r="G223" s="99" t="s">
        <v>498</v>
      </c>
      <c r="H223" s="3">
        <v>20</v>
      </c>
      <c r="I223" s="3"/>
      <c r="J223" s="83" t="s">
        <v>499</v>
      </c>
      <c r="K223" s="99">
        <v>67</v>
      </c>
      <c r="L223" s="3"/>
    </row>
    <row r="224" spans="1:12" x14ac:dyDescent="0.3">
      <c r="A224" s="3" t="s">
        <v>500</v>
      </c>
      <c r="B224" s="54" t="s">
        <v>40</v>
      </c>
      <c r="C224" s="88" t="s">
        <v>230</v>
      </c>
      <c r="D224" s="82">
        <v>45872</v>
      </c>
      <c r="E224" s="3">
        <v>150</v>
      </c>
      <c r="F224" s="3">
        <v>70</v>
      </c>
      <c r="G224" s="99"/>
      <c r="H224" s="3">
        <v>20</v>
      </c>
      <c r="I224" s="3"/>
      <c r="J224" s="83" t="s">
        <v>501</v>
      </c>
      <c r="K224" s="99">
        <v>22</v>
      </c>
      <c r="L224" s="3"/>
    </row>
    <row r="225" spans="1:12" x14ac:dyDescent="0.3">
      <c r="A225" s="3" t="s">
        <v>502</v>
      </c>
      <c r="B225" s="54" t="s">
        <v>39</v>
      </c>
      <c r="C225" s="88" t="s">
        <v>230</v>
      </c>
      <c r="D225" s="3" t="s">
        <v>19</v>
      </c>
      <c r="E225" s="3" t="s">
        <v>19</v>
      </c>
      <c r="F225" s="3">
        <v>55</v>
      </c>
      <c r="G225" s="99"/>
      <c r="H225" s="3"/>
      <c r="I225" s="3"/>
      <c r="J225" s="3" t="s">
        <v>506</v>
      </c>
      <c r="K225" s="99">
        <v>7</v>
      </c>
      <c r="L225" s="3"/>
    </row>
    <row r="226" spans="1:12" ht="14.5" thickBot="1" x14ac:dyDescent="0.35">
      <c r="A226" s="3" t="s">
        <v>507</v>
      </c>
      <c r="B226" s="54" t="s">
        <v>40</v>
      </c>
      <c r="C226" s="88" t="s">
        <v>230</v>
      </c>
      <c r="D226" s="82">
        <v>45872</v>
      </c>
      <c r="E226" s="3">
        <v>150</v>
      </c>
      <c r="F226" s="3"/>
      <c r="G226" s="99"/>
      <c r="H226" s="3">
        <v>20</v>
      </c>
      <c r="I226" s="3"/>
      <c r="J226" s="3" t="s">
        <v>508</v>
      </c>
      <c r="K226" s="99">
        <v>15</v>
      </c>
      <c r="L226" s="3"/>
    </row>
    <row r="227" spans="1:12" ht="14.5" thickBot="1" x14ac:dyDescent="0.35">
      <c r="A227" s="3" t="s">
        <v>509</v>
      </c>
      <c r="B227" s="54" t="s">
        <v>40</v>
      </c>
      <c r="C227" s="49" t="s">
        <v>231</v>
      </c>
      <c r="D227" s="82">
        <v>45883</v>
      </c>
      <c r="E227" s="3">
        <v>450</v>
      </c>
      <c r="F227" s="3">
        <v>61</v>
      </c>
      <c r="G227" s="99" t="s">
        <v>510</v>
      </c>
      <c r="H227" s="3">
        <v>23</v>
      </c>
      <c r="I227" s="3">
        <v>98</v>
      </c>
      <c r="J227" s="83" t="s">
        <v>511</v>
      </c>
      <c r="K227" s="99">
        <v>65</v>
      </c>
      <c r="L227" s="3"/>
    </row>
    <row r="228" spans="1:12" x14ac:dyDescent="0.3">
      <c r="A228" s="3" t="s">
        <v>512</v>
      </c>
      <c r="B228" s="54" t="s">
        <v>40</v>
      </c>
      <c r="C228" s="49" t="s">
        <v>231</v>
      </c>
      <c r="D228" s="82">
        <v>45883</v>
      </c>
      <c r="E228" s="3">
        <v>450</v>
      </c>
      <c r="F228" s="3">
        <v>65</v>
      </c>
      <c r="G228" s="99" t="s">
        <v>513</v>
      </c>
      <c r="H228" s="3">
        <v>25</v>
      </c>
      <c r="I228" s="3">
        <v>97</v>
      </c>
      <c r="J228" s="83" t="s">
        <v>514</v>
      </c>
      <c r="K228" s="99">
        <v>67</v>
      </c>
      <c r="L228" s="3"/>
    </row>
    <row r="229" spans="1:12" x14ac:dyDescent="0.3">
      <c r="A229" s="3" t="s">
        <v>515</v>
      </c>
      <c r="B229" s="54" t="s">
        <v>40</v>
      </c>
      <c r="C229" s="88" t="s">
        <v>230</v>
      </c>
      <c r="D229" s="82">
        <v>45884</v>
      </c>
      <c r="E229" s="3">
        <v>150</v>
      </c>
      <c r="F229" s="3"/>
      <c r="G229" s="99"/>
      <c r="H229" s="3">
        <v>29</v>
      </c>
      <c r="I229" s="3"/>
      <c r="J229" s="83" t="s">
        <v>516</v>
      </c>
      <c r="K229" s="99">
        <v>17</v>
      </c>
      <c r="L229" s="3"/>
    </row>
    <row r="230" spans="1:12" x14ac:dyDescent="0.3">
      <c r="A230" s="3" t="s">
        <v>517</v>
      </c>
      <c r="B230" s="54" t="s">
        <v>40</v>
      </c>
      <c r="C230" s="88" t="s">
        <v>230</v>
      </c>
      <c r="D230" s="82">
        <v>45884</v>
      </c>
      <c r="E230" s="3">
        <v>150</v>
      </c>
      <c r="F230" s="3"/>
      <c r="G230" s="99"/>
      <c r="H230" s="3">
        <v>20</v>
      </c>
      <c r="I230" s="3"/>
      <c r="J230" s="83" t="s">
        <v>518</v>
      </c>
      <c r="K230" s="99">
        <v>22</v>
      </c>
      <c r="L230" s="3"/>
    </row>
    <row r="231" spans="1:12" x14ac:dyDescent="0.3">
      <c r="A231" s="3" t="s">
        <v>523</v>
      </c>
      <c r="B231" s="54" t="s">
        <v>40</v>
      </c>
      <c r="C231" s="88" t="s">
        <v>230</v>
      </c>
      <c r="D231" s="82">
        <v>45884</v>
      </c>
      <c r="E231" s="3">
        <v>150</v>
      </c>
      <c r="F231" s="3">
        <v>69</v>
      </c>
      <c r="G231" s="99"/>
      <c r="H231" s="3">
        <v>23</v>
      </c>
      <c r="I231" s="3"/>
      <c r="J231" s="83" t="s">
        <v>379</v>
      </c>
      <c r="K231" s="99">
        <v>26</v>
      </c>
      <c r="L231" s="3"/>
    </row>
    <row r="232" spans="1:12" x14ac:dyDescent="0.3">
      <c r="A232" s="3" t="s">
        <v>524</v>
      </c>
      <c r="B232" s="54" t="s">
        <v>40</v>
      </c>
      <c r="C232" s="88" t="s">
        <v>230</v>
      </c>
      <c r="D232" s="82">
        <v>45887</v>
      </c>
      <c r="E232" s="3">
        <v>150</v>
      </c>
      <c r="F232" s="3">
        <v>56</v>
      </c>
      <c r="G232" s="103">
        <v>0.41666666666666669</v>
      </c>
      <c r="H232" s="3">
        <v>25</v>
      </c>
      <c r="I232" s="3"/>
      <c r="J232" s="3" t="s">
        <v>283</v>
      </c>
      <c r="K232" s="99">
        <v>22</v>
      </c>
      <c r="L232" s="3"/>
    </row>
    <row r="233" spans="1:12" x14ac:dyDescent="0.3">
      <c r="A233" s="3" t="s">
        <v>525</v>
      </c>
      <c r="B233" s="54" t="s">
        <v>40</v>
      </c>
      <c r="C233" s="88" t="s">
        <v>230</v>
      </c>
      <c r="D233" s="82">
        <v>45887</v>
      </c>
      <c r="E233" s="3">
        <v>150</v>
      </c>
      <c r="F233" s="3">
        <v>56</v>
      </c>
      <c r="G233" s="103">
        <v>0.4236111111111111</v>
      </c>
      <c r="H233" s="3">
        <v>22</v>
      </c>
      <c r="I233" s="3"/>
      <c r="J233" s="83" t="s">
        <v>526</v>
      </c>
      <c r="K233" s="99">
        <v>25</v>
      </c>
      <c r="L233" s="3"/>
    </row>
    <row r="234" spans="1:12" x14ac:dyDescent="0.3">
      <c r="A234" s="3" t="s">
        <v>527</v>
      </c>
      <c r="B234" s="54" t="s">
        <v>40</v>
      </c>
      <c r="C234" s="88" t="s">
        <v>230</v>
      </c>
      <c r="D234" s="82">
        <v>45887</v>
      </c>
      <c r="E234" s="3">
        <v>150</v>
      </c>
      <c r="F234" s="3">
        <v>57</v>
      </c>
      <c r="G234" s="103">
        <v>0.40972222222222221</v>
      </c>
      <c r="H234" s="3">
        <v>20</v>
      </c>
      <c r="I234" s="3"/>
      <c r="J234" s="83" t="s">
        <v>528</v>
      </c>
      <c r="K234" s="99">
        <v>18</v>
      </c>
      <c r="L234" s="3"/>
    </row>
    <row r="235" spans="1:12" x14ac:dyDescent="0.3">
      <c r="A235" s="3" t="s">
        <v>529</v>
      </c>
      <c r="B235" s="54" t="s">
        <v>177</v>
      </c>
      <c r="C235" s="88" t="s">
        <v>230</v>
      </c>
      <c r="D235" s="3" t="s">
        <v>19</v>
      </c>
      <c r="E235" s="3" t="s">
        <v>19</v>
      </c>
      <c r="F235" s="3">
        <v>55</v>
      </c>
      <c r="G235" s="99"/>
      <c r="H235" s="3">
        <v>23</v>
      </c>
      <c r="I235" s="3"/>
      <c r="J235" s="83" t="s">
        <v>533</v>
      </c>
      <c r="K235" s="99">
        <v>8</v>
      </c>
      <c r="L235" s="3"/>
    </row>
    <row r="236" spans="1:12" x14ac:dyDescent="0.3">
      <c r="A236" s="3" t="s">
        <v>534</v>
      </c>
      <c r="B236" s="54" t="s">
        <v>39</v>
      </c>
      <c r="C236" s="88" t="s">
        <v>231</v>
      </c>
      <c r="D236" s="3" t="s">
        <v>19</v>
      </c>
      <c r="E236" s="3" t="s">
        <v>19</v>
      </c>
      <c r="F236" s="3">
        <v>57</v>
      </c>
      <c r="G236" s="99"/>
      <c r="H236" s="3">
        <v>21</v>
      </c>
      <c r="I236" s="3">
        <v>98</v>
      </c>
      <c r="J236" s="83" t="s">
        <v>538</v>
      </c>
      <c r="K236" s="99">
        <v>7</v>
      </c>
      <c r="L236" s="3"/>
    </row>
    <row r="237" spans="1:12" ht="14.5" thickBot="1" x14ac:dyDescent="0.35">
      <c r="A237" t="s">
        <v>539</v>
      </c>
      <c r="B237" s="54" t="s">
        <v>177</v>
      </c>
      <c r="C237" s="88" t="s">
        <v>231</v>
      </c>
      <c r="D237" s="3" t="s">
        <v>19</v>
      </c>
      <c r="E237" s="3" t="s">
        <v>19</v>
      </c>
      <c r="F237" s="3">
        <v>57</v>
      </c>
      <c r="G237" s="99"/>
      <c r="H237" s="3">
        <v>20</v>
      </c>
      <c r="I237" s="3">
        <v>98</v>
      </c>
      <c r="J237" s="3" t="s">
        <v>542</v>
      </c>
      <c r="K237" s="99">
        <v>9</v>
      </c>
      <c r="L237" s="3"/>
    </row>
    <row r="238" spans="1:12" ht="14.5" thickBot="1" x14ac:dyDescent="0.35">
      <c r="A238" s="3" t="s">
        <v>543</v>
      </c>
      <c r="B238" s="54" t="s">
        <v>40</v>
      </c>
      <c r="C238" s="49" t="s">
        <v>231</v>
      </c>
      <c r="D238" s="82">
        <v>45887</v>
      </c>
      <c r="E238" s="3">
        <v>450</v>
      </c>
      <c r="F238" s="3">
        <v>69</v>
      </c>
      <c r="G238" s="99" t="s">
        <v>491</v>
      </c>
      <c r="H238" s="3">
        <v>27</v>
      </c>
      <c r="I238" s="3">
        <v>97</v>
      </c>
      <c r="J238" s="83" t="s">
        <v>544</v>
      </c>
      <c r="K238" s="99">
        <v>55</v>
      </c>
      <c r="L238" s="3"/>
    </row>
    <row r="239" spans="1:12" ht="14.5" thickBot="1" x14ac:dyDescent="0.35">
      <c r="A239" s="3" t="s">
        <v>545</v>
      </c>
      <c r="B239" s="54" t="s">
        <v>40</v>
      </c>
      <c r="C239" s="49" t="s">
        <v>231</v>
      </c>
      <c r="D239" s="82">
        <v>45919</v>
      </c>
      <c r="E239" s="3">
        <v>450</v>
      </c>
      <c r="F239" s="3">
        <v>69</v>
      </c>
      <c r="G239" s="99" t="s">
        <v>546</v>
      </c>
      <c r="H239" s="3">
        <v>29</v>
      </c>
      <c r="I239" s="3"/>
      <c r="J239" s="83" t="s">
        <v>547</v>
      </c>
      <c r="K239" s="99">
        <v>54</v>
      </c>
      <c r="L239" s="3"/>
    </row>
    <row r="240" spans="1:12" ht="14.5" thickBot="1" x14ac:dyDescent="0.35">
      <c r="A240" s="3" t="s">
        <v>548</v>
      </c>
      <c r="B240" s="54" t="s">
        <v>40</v>
      </c>
      <c r="C240" s="49" t="s">
        <v>231</v>
      </c>
      <c r="D240" s="82">
        <v>45896</v>
      </c>
      <c r="E240" s="3">
        <v>450</v>
      </c>
      <c r="F240" s="3"/>
      <c r="G240" s="99"/>
      <c r="H240" s="3"/>
      <c r="I240" s="3"/>
      <c r="J240" s="83">
        <v>0.32291666666666669</v>
      </c>
      <c r="K240" s="99"/>
      <c r="L240" s="3" t="s">
        <v>549</v>
      </c>
    </row>
    <row r="241" spans="1:12" ht="14.5" thickBot="1" x14ac:dyDescent="0.35">
      <c r="A241" s="3" t="s">
        <v>550</v>
      </c>
      <c r="B241" s="54" t="s">
        <v>40</v>
      </c>
      <c r="C241" s="49" t="s">
        <v>231</v>
      </c>
      <c r="D241" s="82">
        <v>45896</v>
      </c>
      <c r="E241" s="3">
        <v>450</v>
      </c>
      <c r="F241" s="3">
        <v>68</v>
      </c>
      <c r="G241" s="99" t="s">
        <v>551</v>
      </c>
      <c r="H241" s="3">
        <v>22</v>
      </c>
      <c r="I241" s="3">
        <v>99</v>
      </c>
      <c r="J241" s="83" t="s">
        <v>552</v>
      </c>
      <c r="K241" s="99">
        <v>68</v>
      </c>
      <c r="L241" s="3"/>
    </row>
    <row r="242" spans="1:12" ht="14.5" thickBot="1" x14ac:dyDescent="0.35">
      <c r="A242" s="3" t="s">
        <v>553</v>
      </c>
      <c r="B242" s="54" t="s">
        <v>40</v>
      </c>
      <c r="C242" s="49" t="s">
        <v>231</v>
      </c>
      <c r="D242" s="82">
        <v>45896</v>
      </c>
      <c r="E242" s="3">
        <v>450</v>
      </c>
      <c r="F242" s="3">
        <v>69</v>
      </c>
      <c r="G242" s="99" t="s">
        <v>554</v>
      </c>
      <c r="H242" s="3">
        <v>27</v>
      </c>
      <c r="I242" s="3">
        <v>98</v>
      </c>
      <c r="J242" s="83" t="s">
        <v>555</v>
      </c>
      <c r="K242" s="99">
        <v>55</v>
      </c>
      <c r="L242" s="3"/>
    </row>
    <row r="243" spans="1:12" x14ac:dyDescent="0.3">
      <c r="A243" s="3" t="s">
        <v>556</v>
      </c>
      <c r="B243" s="54" t="s">
        <v>40</v>
      </c>
      <c r="C243" s="49" t="s">
        <v>231</v>
      </c>
      <c r="D243" s="82">
        <v>45900</v>
      </c>
      <c r="E243" s="3">
        <v>450</v>
      </c>
      <c r="F243" s="3">
        <v>69</v>
      </c>
      <c r="G243" s="99" t="s">
        <v>558</v>
      </c>
      <c r="H243" s="3">
        <v>20</v>
      </c>
      <c r="I243" s="3">
        <v>98</v>
      </c>
      <c r="J243" s="83" t="s">
        <v>559</v>
      </c>
      <c r="K243" s="99">
        <v>58</v>
      </c>
      <c r="L243" s="3"/>
    </row>
    <row r="244" spans="1:12" x14ac:dyDescent="0.3">
      <c r="A244" s="3" t="s">
        <v>560</v>
      </c>
      <c r="B244" s="54" t="s">
        <v>177</v>
      </c>
      <c r="C244" s="88" t="s">
        <v>231</v>
      </c>
      <c r="D244" s="3" t="s">
        <v>19</v>
      </c>
      <c r="E244" s="3" t="s">
        <v>19</v>
      </c>
      <c r="F244" s="3">
        <v>54</v>
      </c>
      <c r="G244" s="103">
        <v>0.55555555555555558</v>
      </c>
      <c r="H244" s="3">
        <v>19</v>
      </c>
      <c r="I244" s="3">
        <v>99</v>
      </c>
      <c r="J244" s="3" t="s">
        <v>564</v>
      </c>
      <c r="K244" s="99">
        <v>6</v>
      </c>
      <c r="L244" s="3"/>
    </row>
    <row r="245" spans="1:12" x14ac:dyDescent="0.3">
      <c r="A245" s="3" t="s">
        <v>565</v>
      </c>
      <c r="B245" s="54" t="s">
        <v>177</v>
      </c>
      <c r="C245" s="88" t="s">
        <v>231</v>
      </c>
      <c r="D245" s="3" t="s">
        <v>19</v>
      </c>
      <c r="E245" s="3" t="s">
        <v>19</v>
      </c>
      <c r="F245" s="3">
        <v>55</v>
      </c>
      <c r="G245" s="103">
        <v>0.55208333333333337</v>
      </c>
      <c r="H245" s="3">
        <v>20</v>
      </c>
      <c r="I245" s="3">
        <v>98</v>
      </c>
      <c r="J245" s="3" t="s">
        <v>569</v>
      </c>
      <c r="K245" s="99">
        <v>7</v>
      </c>
      <c r="L245" s="3"/>
    </row>
    <row r="246" spans="1:12" ht="14.5" thickBot="1" x14ac:dyDescent="0.35">
      <c r="A246" s="3" t="s">
        <v>570</v>
      </c>
      <c r="B246" s="54" t="s">
        <v>177</v>
      </c>
      <c r="C246" s="88" t="s">
        <v>231</v>
      </c>
      <c r="D246" s="3" t="s">
        <v>19</v>
      </c>
      <c r="E246" s="3" t="s">
        <v>19</v>
      </c>
      <c r="F246" s="3">
        <v>55</v>
      </c>
      <c r="G246" s="103">
        <v>0.57638888888888884</v>
      </c>
      <c r="H246" s="3">
        <v>20</v>
      </c>
      <c r="I246" s="3">
        <v>98</v>
      </c>
      <c r="J246" s="3" t="s">
        <v>576</v>
      </c>
      <c r="K246" s="99">
        <v>15</v>
      </c>
      <c r="L246" s="3"/>
    </row>
    <row r="247" spans="1:12" ht="14.5" thickBot="1" x14ac:dyDescent="0.35">
      <c r="A247" s="3" t="s">
        <v>572</v>
      </c>
      <c r="B247" s="54" t="s">
        <v>40</v>
      </c>
      <c r="C247" s="49" t="s">
        <v>231</v>
      </c>
      <c r="D247" s="82">
        <v>45900</v>
      </c>
      <c r="E247" s="3">
        <v>450</v>
      </c>
      <c r="F247" s="3">
        <v>73</v>
      </c>
      <c r="G247" s="99" t="s">
        <v>573</v>
      </c>
      <c r="H247" s="3">
        <v>25</v>
      </c>
      <c r="I247" s="3">
        <v>98</v>
      </c>
      <c r="J247" s="83" t="s">
        <v>577</v>
      </c>
      <c r="K247" s="99">
        <v>56</v>
      </c>
      <c r="L247" s="3"/>
    </row>
    <row r="248" spans="1:12" ht="14.5" thickBot="1" x14ac:dyDescent="0.35">
      <c r="A248" s="3" t="s">
        <v>578</v>
      </c>
      <c r="B248" s="54" t="s">
        <v>40</v>
      </c>
      <c r="C248" s="49" t="s">
        <v>231</v>
      </c>
      <c r="D248" s="82">
        <v>45900</v>
      </c>
      <c r="E248" s="3">
        <v>100</v>
      </c>
      <c r="F248" s="3">
        <v>65</v>
      </c>
      <c r="G248" s="99" t="s">
        <v>579</v>
      </c>
      <c r="H248" s="3">
        <v>25</v>
      </c>
      <c r="I248" s="3">
        <v>97</v>
      </c>
      <c r="J248" s="83" t="s">
        <v>580</v>
      </c>
      <c r="K248" s="99">
        <v>50</v>
      </c>
      <c r="L248" s="3"/>
    </row>
    <row r="249" spans="1:12" x14ac:dyDescent="0.3">
      <c r="A249" s="3" t="s">
        <v>578</v>
      </c>
      <c r="B249" s="54" t="s">
        <v>40</v>
      </c>
      <c r="C249" s="49" t="s">
        <v>231</v>
      </c>
      <c r="D249" s="82">
        <v>45910</v>
      </c>
      <c r="E249" s="3">
        <v>350</v>
      </c>
      <c r="F249" s="3"/>
      <c r="G249" s="99"/>
      <c r="H249" s="3"/>
      <c r="I249" s="3"/>
      <c r="J249" s="3"/>
      <c r="K249" s="99"/>
      <c r="L249" s="3"/>
    </row>
  </sheetData>
  <phoneticPr fontId="5" type="noConversion"/>
  <hyperlinks>
    <hyperlink ref="D5" r:id="rId1" display="\\" xr:uid="{F158FFE7-DB78-4399-B544-51D4501531A1}"/>
  </hyperlinks>
  <pageMargins left="0.7" right="0.7" top="0.75" bottom="0.75" header="0.3" footer="0.3"/>
  <pageSetup paperSize="9" orientation="portrait" horizontalDpi="1200" verticalDpi="1200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3057-0A56-4131-ACB0-0A7673BD3F7D}">
  <dimension ref="A1:K45"/>
  <sheetViews>
    <sheetView rightToLeft="1" topLeftCell="A24" workbookViewId="0">
      <selection activeCell="J28" sqref="J25:J28"/>
    </sheetView>
  </sheetViews>
  <sheetFormatPr defaultRowHeight="14" x14ac:dyDescent="0.3"/>
  <cols>
    <col min="1" max="1" width="9.75" bestFit="1" customWidth="1"/>
    <col min="2" max="2" width="9.75" customWidth="1"/>
    <col min="3" max="3" width="22.6640625" customWidth="1"/>
    <col min="4" max="4" width="10.6640625" customWidth="1"/>
    <col min="5" max="5" width="13.75" bestFit="1" customWidth="1"/>
    <col min="6" max="6" width="12.83203125" customWidth="1"/>
    <col min="7" max="7" width="11" customWidth="1"/>
    <col min="8" max="8" width="14.33203125" customWidth="1"/>
    <col min="9" max="9" width="12.1640625" style="16" customWidth="1"/>
    <col min="10" max="10" width="11.4140625" customWidth="1"/>
    <col min="13" max="13" width="8.9140625" customWidth="1"/>
  </cols>
  <sheetData>
    <row r="1" spans="1:11" ht="37" x14ac:dyDescent="0.3">
      <c r="A1" s="25" t="s">
        <v>5</v>
      </c>
      <c r="B1" s="25" t="s">
        <v>18</v>
      </c>
      <c r="C1" s="32" t="s">
        <v>108</v>
      </c>
      <c r="D1" s="32" t="s">
        <v>3</v>
      </c>
      <c r="E1" s="26" t="s">
        <v>28</v>
      </c>
      <c r="F1" s="27" t="s">
        <v>30</v>
      </c>
      <c r="G1" s="59" t="s">
        <v>104</v>
      </c>
      <c r="H1" s="28" t="s">
        <v>6</v>
      </c>
      <c r="I1" s="26" t="s">
        <v>213</v>
      </c>
      <c r="J1" s="28" t="s">
        <v>16</v>
      </c>
      <c r="K1" s="28" t="s">
        <v>8</v>
      </c>
    </row>
    <row r="2" spans="1:11" x14ac:dyDescent="0.3">
      <c r="A2" s="65"/>
      <c r="B2" s="65" t="s">
        <v>169</v>
      </c>
      <c r="C2" s="66"/>
      <c r="D2" s="66" t="s">
        <v>167</v>
      </c>
      <c r="E2" s="67"/>
      <c r="F2" s="68"/>
      <c r="G2" s="68"/>
      <c r="H2" s="41"/>
      <c r="I2" s="44"/>
      <c r="J2" s="41"/>
      <c r="K2" s="41"/>
    </row>
    <row r="3" spans="1:11" x14ac:dyDescent="0.3">
      <c r="A3" t="s">
        <v>35</v>
      </c>
      <c r="B3" s="65" t="s">
        <v>36</v>
      </c>
      <c r="D3" t="s">
        <v>165</v>
      </c>
      <c r="E3">
        <v>80</v>
      </c>
      <c r="F3" t="s">
        <v>24</v>
      </c>
      <c r="G3" s="4">
        <v>0.55000000000000004</v>
      </c>
      <c r="H3">
        <v>99.9</v>
      </c>
      <c r="I3" s="16" t="s">
        <v>37</v>
      </c>
      <c r="J3">
        <v>68</v>
      </c>
    </row>
    <row r="4" spans="1:11" x14ac:dyDescent="0.3">
      <c r="A4" t="s">
        <v>29</v>
      </c>
      <c r="B4" s="65" t="s">
        <v>32</v>
      </c>
      <c r="D4" t="s">
        <v>166</v>
      </c>
      <c r="E4">
        <v>80</v>
      </c>
      <c r="F4" t="s">
        <v>24</v>
      </c>
      <c r="G4" s="4">
        <v>0.55000000000000004</v>
      </c>
      <c r="H4">
        <v>99.9</v>
      </c>
      <c r="I4" s="16" t="s">
        <v>31</v>
      </c>
      <c r="J4">
        <v>62</v>
      </c>
    </row>
    <row r="5" spans="1:11" x14ac:dyDescent="0.3">
      <c r="A5" t="s">
        <v>164</v>
      </c>
      <c r="B5" t="s">
        <v>169</v>
      </c>
      <c r="C5" t="s">
        <v>175</v>
      </c>
      <c r="D5" t="s">
        <v>168</v>
      </c>
      <c r="E5">
        <v>80</v>
      </c>
      <c r="F5" t="s">
        <v>24</v>
      </c>
      <c r="G5" s="4">
        <v>0.55000000000000004</v>
      </c>
      <c r="H5">
        <v>99.9</v>
      </c>
      <c r="I5" s="87" t="s">
        <v>176</v>
      </c>
      <c r="J5">
        <v>64</v>
      </c>
    </row>
    <row r="6" spans="1:11" x14ac:dyDescent="0.3">
      <c r="A6" t="s">
        <v>181</v>
      </c>
      <c r="B6" t="s">
        <v>169</v>
      </c>
      <c r="C6" t="s">
        <v>183</v>
      </c>
      <c r="D6" t="s">
        <v>182</v>
      </c>
      <c r="E6">
        <v>75</v>
      </c>
      <c r="F6" t="s">
        <v>24</v>
      </c>
      <c r="G6" s="4">
        <v>0.55000000000000004</v>
      </c>
      <c r="H6">
        <v>99.9</v>
      </c>
      <c r="I6" s="87" t="s">
        <v>184</v>
      </c>
      <c r="J6" s="1">
        <v>56.5</v>
      </c>
    </row>
    <row r="7" spans="1:11" x14ac:dyDescent="0.3">
      <c r="A7" t="s">
        <v>209</v>
      </c>
      <c r="B7" t="s">
        <v>169</v>
      </c>
      <c r="C7" t="s">
        <v>210</v>
      </c>
      <c r="D7" t="s">
        <v>211</v>
      </c>
      <c r="E7">
        <v>80</v>
      </c>
      <c r="F7" t="s">
        <v>24</v>
      </c>
      <c r="G7" s="4">
        <v>0.55000000000000004</v>
      </c>
      <c r="H7">
        <v>99.9</v>
      </c>
      <c r="I7" s="16" t="s">
        <v>212</v>
      </c>
      <c r="J7">
        <v>56.6</v>
      </c>
    </row>
    <row r="8" spans="1:11" x14ac:dyDescent="0.3">
      <c r="A8" t="s">
        <v>216</v>
      </c>
      <c r="B8" t="s">
        <v>169</v>
      </c>
      <c r="C8" t="s">
        <v>217</v>
      </c>
      <c r="D8" t="s">
        <v>218</v>
      </c>
      <c r="E8">
        <v>77</v>
      </c>
      <c r="F8" t="s">
        <v>24</v>
      </c>
      <c r="G8" s="4">
        <v>0.55000000000000004</v>
      </c>
      <c r="H8">
        <v>99.9</v>
      </c>
      <c r="I8" s="87">
        <v>0.29166666666666669</v>
      </c>
      <c r="J8">
        <v>56</v>
      </c>
    </row>
    <row r="9" spans="1:11" x14ac:dyDescent="0.3">
      <c r="A9" t="s">
        <v>219</v>
      </c>
      <c r="B9" t="s">
        <v>36</v>
      </c>
      <c r="C9" t="s">
        <v>221</v>
      </c>
      <c r="D9" t="s">
        <v>220</v>
      </c>
      <c r="E9">
        <v>80</v>
      </c>
      <c r="F9" t="s">
        <v>24</v>
      </c>
      <c r="G9" s="4">
        <v>0.55000000000000004</v>
      </c>
      <c r="H9">
        <v>99.9</v>
      </c>
      <c r="I9" s="87" t="s">
        <v>222</v>
      </c>
      <c r="J9">
        <v>57</v>
      </c>
      <c r="K9">
        <v>290</v>
      </c>
    </row>
    <row r="10" spans="1:11" x14ac:dyDescent="0.3">
      <c r="A10" t="s">
        <v>239</v>
      </c>
      <c r="B10" t="s">
        <v>32</v>
      </c>
      <c r="C10" t="s">
        <v>240</v>
      </c>
      <c r="D10" t="s">
        <v>241</v>
      </c>
      <c r="E10">
        <v>81</v>
      </c>
      <c r="F10" t="s">
        <v>24</v>
      </c>
      <c r="G10" s="4">
        <v>0.55000000000000004</v>
      </c>
      <c r="H10">
        <v>99.9</v>
      </c>
      <c r="I10" s="87" t="s">
        <v>242</v>
      </c>
      <c r="J10">
        <v>51</v>
      </c>
    </row>
    <row r="11" spans="1:11" x14ac:dyDescent="0.3">
      <c r="A11" t="s">
        <v>244</v>
      </c>
      <c r="B11" t="s">
        <v>169</v>
      </c>
      <c r="C11" t="s">
        <v>245</v>
      </c>
      <c r="D11" t="s">
        <v>246</v>
      </c>
      <c r="E11">
        <v>81</v>
      </c>
      <c r="F11" t="s">
        <v>24</v>
      </c>
      <c r="G11" s="4">
        <v>0.55000000000000004</v>
      </c>
      <c r="H11">
        <v>99.9</v>
      </c>
      <c r="I11" s="87" t="s">
        <v>247</v>
      </c>
      <c r="J11">
        <v>51</v>
      </c>
    </row>
    <row r="12" spans="1:11" x14ac:dyDescent="0.3">
      <c r="A12" t="s">
        <v>250</v>
      </c>
      <c r="B12" t="s">
        <v>169</v>
      </c>
      <c r="C12" t="s">
        <v>251</v>
      </c>
      <c r="D12" t="s">
        <v>252</v>
      </c>
      <c r="E12">
        <v>82</v>
      </c>
      <c r="F12" t="s">
        <v>24</v>
      </c>
      <c r="G12" s="4">
        <v>0.55000000000000004</v>
      </c>
      <c r="H12">
        <v>99.9</v>
      </c>
      <c r="I12" s="87" t="s">
        <v>255</v>
      </c>
      <c r="J12">
        <v>56.6</v>
      </c>
      <c r="K12">
        <v>159</v>
      </c>
    </row>
    <row r="13" spans="1:11" x14ac:dyDescent="0.3">
      <c r="A13" t="s">
        <v>259</v>
      </c>
      <c r="B13" t="s">
        <v>36</v>
      </c>
      <c r="C13" t="s">
        <v>260</v>
      </c>
      <c r="D13" t="s">
        <v>261</v>
      </c>
      <c r="E13">
        <v>80</v>
      </c>
      <c r="F13" t="s">
        <v>24</v>
      </c>
      <c r="G13" s="4">
        <v>0.55000000000000004</v>
      </c>
      <c r="H13">
        <v>99.9</v>
      </c>
      <c r="I13" s="87" t="s">
        <v>263</v>
      </c>
      <c r="J13">
        <v>50</v>
      </c>
    </row>
    <row r="14" spans="1:11" x14ac:dyDescent="0.3">
      <c r="A14" t="s">
        <v>276</v>
      </c>
      <c r="B14" t="s">
        <v>169</v>
      </c>
      <c r="C14" t="s">
        <v>277</v>
      </c>
      <c r="D14" t="s">
        <v>278</v>
      </c>
      <c r="E14">
        <v>80</v>
      </c>
      <c r="F14" t="s">
        <v>24</v>
      </c>
      <c r="G14" s="4">
        <v>0.55000000000000004</v>
      </c>
      <c r="H14">
        <v>99.9</v>
      </c>
      <c r="I14" s="87" t="s">
        <v>242</v>
      </c>
      <c r="J14">
        <v>64</v>
      </c>
    </row>
    <row r="15" spans="1:11" x14ac:dyDescent="0.3">
      <c r="A15" t="s">
        <v>286</v>
      </c>
      <c r="B15" t="s">
        <v>36</v>
      </c>
      <c r="D15" t="s">
        <v>287</v>
      </c>
      <c r="E15">
        <v>80</v>
      </c>
      <c r="F15" t="s">
        <v>24</v>
      </c>
      <c r="G15" s="4">
        <v>0.55000000000000004</v>
      </c>
      <c r="H15">
        <v>99.9</v>
      </c>
      <c r="I15" s="16" t="s">
        <v>255</v>
      </c>
      <c r="J15">
        <v>56</v>
      </c>
    </row>
    <row r="16" spans="1:11" x14ac:dyDescent="0.3">
      <c r="A16" t="s">
        <v>289</v>
      </c>
      <c r="B16" t="s">
        <v>32</v>
      </c>
      <c r="D16" t="s">
        <v>290</v>
      </c>
      <c r="E16">
        <v>80</v>
      </c>
      <c r="F16" t="s">
        <v>24</v>
      </c>
      <c r="G16" s="4">
        <v>0.55000000000000004</v>
      </c>
      <c r="H16">
        <v>99.9</v>
      </c>
      <c r="I16" s="16" t="s">
        <v>31</v>
      </c>
      <c r="J16">
        <v>51</v>
      </c>
    </row>
    <row r="17" spans="1:11" x14ac:dyDescent="0.3">
      <c r="A17" t="s">
        <v>298</v>
      </c>
      <c r="B17" t="s">
        <v>36</v>
      </c>
      <c r="C17" t="s">
        <v>299</v>
      </c>
      <c r="D17" t="s">
        <v>300</v>
      </c>
      <c r="E17">
        <v>82</v>
      </c>
      <c r="F17" t="s">
        <v>24</v>
      </c>
      <c r="G17" s="4">
        <v>0.55000000000000004</v>
      </c>
      <c r="H17">
        <v>99.9</v>
      </c>
      <c r="I17" s="87" t="s">
        <v>301</v>
      </c>
      <c r="J17">
        <v>60</v>
      </c>
    </row>
    <row r="18" spans="1:11" x14ac:dyDescent="0.3">
      <c r="A18" t="s">
        <v>303</v>
      </c>
      <c r="B18" t="s">
        <v>169</v>
      </c>
      <c r="C18" t="s">
        <v>304</v>
      </c>
      <c r="D18" t="s">
        <v>305</v>
      </c>
      <c r="E18">
        <v>81</v>
      </c>
      <c r="F18" t="s">
        <v>24</v>
      </c>
      <c r="G18" s="4">
        <v>0.55000000000000004</v>
      </c>
      <c r="H18">
        <v>99.9</v>
      </c>
      <c r="I18" s="16" t="s">
        <v>306</v>
      </c>
      <c r="J18">
        <v>52</v>
      </c>
      <c r="K18">
        <v>333</v>
      </c>
    </row>
    <row r="19" spans="1:11" x14ac:dyDescent="0.3">
      <c r="A19" t="s">
        <v>311</v>
      </c>
      <c r="B19" t="s">
        <v>169</v>
      </c>
      <c r="C19" t="s">
        <v>314</v>
      </c>
      <c r="D19" t="s">
        <v>315</v>
      </c>
      <c r="E19">
        <v>82</v>
      </c>
      <c r="F19" t="s">
        <v>24</v>
      </c>
      <c r="G19" s="4">
        <v>0.55000000000000004</v>
      </c>
      <c r="H19">
        <v>99.9</v>
      </c>
      <c r="I19" s="16" t="s">
        <v>313</v>
      </c>
      <c r="J19">
        <v>53</v>
      </c>
    </row>
    <row r="20" spans="1:11" x14ac:dyDescent="0.3">
      <c r="A20" t="s">
        <v>317</v>
      </c>
      <c r="B20" t="s">
        <v>32</v>
      </c>
      <c r="C20" t="s">
        <v>318</v>
      </c>
      <c r="D20" t="s">
        <v>312</v>
      </c>
      <c r="E20">
        <v>81</v>
      </c>
      <c r="F20" t="s">
        <v>24</v>
      </c>
      <c r="G20" s="4">
        <v>0.55000000000000004</v>
      </c>
      <c r="H20">
        <v>99.9</v>
      </c>
      <c r="I20" s="16" t="s">
        <v>319</v>
      </c>
      <c r="J20">
        <v>55</v>
      </c>
      <c r="K20">
        <v>108</v>
      </c>
    </row>
    <row r="21" spans="1:11" x14ac:dyDescent="0.3">
      <c r="A21" t="s">
        <v>327</v>
      </c>
      <c r="B21" t="s">
        <v>36</v>
      </c>
      <c r="C21">
        <v>15.4</v>
      </c>
      <c r="D21" t="s">
        <v>328</v>
      </c>
      <c r="E21">
        <v>80</v>
      </c>
      <c r="F21" t="s">
        <v>24</v>
      </c>
      <c r="G21" s="4">
        <v>0.54</v>
      </c>
      <c r="H21">
        <v>99.9</v>
      </c>
      <c r="I21" s="91">
        <v>0.30243055555555554</v>
      </c>
      <c r="J21">
        <v>60</v>
      </c>
    </row>
    <row r="22" spans="1:11" x14ac:dyDescent="0.3">
      <c r="A22" t="s">
        <v>340</v>
      </c>
      <c r="B22" t="s">
        <v>32</v>
      </c>
      <c r="C22">
        <v>30.4</v>
      </c>
      <c r="D22" t="s">
        <v>341</v>
      </c>
      <c r="E22">
        <v>83</v>
      </c>
      <c r="F22" t="s">
        <v>24</v>
      </c>
      <c r="G22" s="4">
        <v>0.56000000000000005</v>
      </c>
      <c r="H22">
        <v>99.9</v>
      </c>
      <c r="I22" s="87" t="s">
        <v>342</v>
      </c>
      <c r="J22">
        <v>51</v>
      </c>
    </row>
    <row r="23" spans="1:11" x14ac:dyDescent="0.3">
      <c r="A23" t="s">
        <v>344</v>
      </c>
      <c r="B23" t="s">
        <v>169</v>
      </c>
      <c r="C23" t="s">
        <v>345</v>
      </c>
      <c r="D23" t="s">
        <v>346</v>
      </c>
      <c r="E23">
        <v>80</v>
      </c>
      <c r="F23" t="s">
        <v>24</v>
      </c>
      <c r="G23" s="4">
        <v>0.56000000000000005</v>
      </c>
      <c r="H23">
        <v>99.9</v>
      </c>
      <c r="I23" s="91" t="s">
        <v>351</v>
      </c>
      <c r="J23">
        <v>51</v>
      </c>
    </row>
    <row r="24" spans="1:11" x14ac:dyDescent="0.3">
      <c r="A24" t="s">
        <v>348</v>
      </c>
      <c r="B24" t="s">
        <v>36</v>
      </c>
      <c r="C24" t="s">
        <v>349</v>
      </c>
      <c r="D24" t="s">
        <v>350</v>
      </c>
      <c r="E24">
        <v>81</v>
      </c>
      <c r="F24" t="s">
        <v>24</v>
      </c>
      <c r="G24" s="4">
        <v>0.56000000000000005</v>
      </c>
      <c r="H24">
        <v>99.9</v>
      </c>
      <c r="I24" s="16" t="s">
        <v>352</v>
      </c>
      <c r="J24">
        <v>49</v>
      </c>
      <c r="K24">
        <v>211</v>
      </c>
    </row>
    <row r="25" spans="1:11" x14ac:dyDescent="0.3">
      <c r="A25" t="s">
        <v>371</v>
      </c>
      <c r="B25" t="s">
        <v>36</v>
      </c>
      <c r="C25" t="s">
        <v>372</v>
      </c>
      <c r="D25" t="s">
        <v>373</v>
      </c>
      <c r="E25">
        <v>82</v>
      </c>
      <c r="F25" t="s">
        <v>24</v>
      </c>
      <c r="G25" s="4">
        <v>0.55000000000000004</v>
      </c>
      <c r="H25">
        <v>99.9</v>
      </c>
      <c r="I25" s="87" t="s">
        <v>374</v>
      </c>
      <c r="J25">
        <v>49</v>
      </c>
    </row>
    <row r="26" spans="1:11" x14ac:dyDescent="0.3">
      <c r="A26" t="s">
        <v>376</v>
      </c>
      <c r="B26" t="s">
        <v>32</v>
      </c>
      <c r="C26" t="s">
        <v>377</v>
      </c>
      <c r="D26" t="s">
        <v>378</v>
      </c>
      <c r="E26">
        <v>85</v>
      </c>
      <c r="F26" t="s">
        <v>24</v>
      </c>
      <c r="G26" s="4">
        <v>0.56000000000000005</v>
      </c>
      <c r="H26">
        <v>99.9</v>
      </c>
      <c r="I26" s="16" t="s">
        <v>379</v>
      </c>
      <c r="J26">
        <v>55</v>
      </c>
    </row>
    <row r="27" spans="1:11" x14ac:dyDescent="0.3">
      <c r="A27" t="s">
        <v>380</v>
      </c>
      <c r="B27" t="s">
        <v>169</v>
      </c>
      <c r="C27" t="s">
        <v>381</v>
      </c>
      <c r="D27" t="s">
        <v>382</v>
      </c>
      <c r="E27">
        <v>81</v>
      </c>
      <c r="F27" t="s">
        <v>24</v>
      </c>
      <c r="G27" s="4">
        <v>0.53</v>
      </c>
      <c r="H27">
        <v>99.9</v>
      </c>
      <c r="I27" s="16" t="s">
        <v>313</v>
      </c>
      <c r="J27">
        <v>45</v>
      </c>
    </row>
    <row r="28" spans="1:11" x14ac:dyDescent="0.3">
      <c r="A28" t="s">
        <v>394</v>
      </c>
      <c r="B28" t="s">
        <v>169</v>
      </c>
      <c r="C28" t="s">
        <v>395</v>
      </c>
      <c r="D28" t="s">
        <v>396</v>
      </c>
      <c r="E28">
        <v>81</v>
      </c>
      <c r="F28" t="s">
        <v>24</v>
      </c>
      <c r="G28" s="4">
        <v>0.55000000000000004</v>
      </c>
      <c r="H28">
        <v>99.9</v>
      </c>
      <c r="I28" s="87" t="s">
        <v>397</v>
      </c>
      <c r="J28">
        <v>51</v>
      </c>
      <c r="K28">
        <v>200</v>
      </c>
    </row>
    <row r="29" spans="1:11" x14ac:dyDescent="0.3">
      <c r="A29" t="s">
        <v>398</v>
      </c>
      <c r="B29" t="s">
        <v>169</v>
      </c>
      <c r="C29" t="s">
        <v>399</v>
      </c>
      <c r="D29" t="s">
        <v>400</v>
      </c>
      <c r="E29">
        <v>80</v>
      </c>
      <c r="F29" t="s">
        <v>24</v>
      </c>
      <c r="G29" s="4">
        <v>0.55000000000000004</v>
      </c>
      <c r="H29">
        <v>99.9</v>
      </c>
      <c r="I29" s="87" t="s">
        <v>401</v>
      </c>
      <c r="J29">
        <v>54</v>
      </c>
    </row>
    <row r="30" spans="1:11" x14ac:dyDescent="0.3">
      <c r="A30" t="s">
        <v>411</v>
      </c>
      <c r="B30" t="s">
        <v>169</v>
      </c>
      <c r="C30" t="s">
        <v>412</v>
      </c>
      <c r="D30" t="s">
        <v>413</v>
      </c>
      <c r="E30">
        <v>83</v>
      </c>
      <c r="F30" t="s">
        <v>24</v>
      </c>
      <c r="G30" s="4">
        <v>0.55000000000000004</v>
      </c>
      <c r="H30">
        <v>99.9</v>
      </c>
      <c r="I30" s="87" t="s">
        <v>401</v>
      </c>
      <c r="J30">
        <v>54</v>
      </c>
    </row>
    <row r="31" spans="1:11" x14ac:dyDescent="0.3">
      <c r="A31" t="s">
        <v>416</v>
      </c>
      <c r="B31" t="s">
        <v>36</v>
      </c>
      <c r="D31" t="s">
        <v>426</v>
      </c>
      <c r="E31">
        <v>80</v>
      </c>
      <c r="F31" t="s">
        <v>24</v>
      </c>
      <c r="G31" s="4">
        <v>0.55000000000000004</v>
      </c>
      <c r="H31">
        <v>99.9</v>
      </c>
      <c r="I31" s="87" t="s">
        <v>417</v>
      </c>
      <c r="J31">
        <v>56</v>
      </c>
      <c r="K31">
        <v>164</v>
      </c>
    </row>
    <row r="32" spans="1:11" x14ac:dyDescent="0.3">
      <c r="A32" t="s">
        <v>429</v>
      </c>
      <c r="B32" t="s">
        <v>169</v>
      </c>
      <c r="D32" t="s">
        <v>430</v>
      </c>
      <c r="E32">
        <v>85</v>
      </c>
      <c r="F32" t="s">
        <v>24</v>
      </c>
      <c r="G32" s="4">
        <v>0.55000000000000004</v>
      </c>
      <c r="H32">
        <v>99.9</v>
      </c>
      <c r="I32" s="16" t="s">
        <v>431</v>
      </c>
      <c r="J32">
        <v>53</v>
      </c>
    </row>
    <row r="33" spans="1:11" x14ac:dyDescent="0.3">
      <c r="A33" t="s">
        <v>441</v>
      </c>
      <c r="B33" t="s">
        <v>32</v>
      </c>
      <c r="C33" t="s">
        <v>442</v>
      </c>
      <c r="D33" t="s">
        <v>443</v>
      </c>
      <c r="E33">
        <v>82</v>
      </c>
      <c r="F33" t="s">
        <v>24</v>
      </c>
      <c r="G33" s="4">
        <v>0.55000000000000004</v>
      </c>
      <c r="H33">
        <v>99.9</v>
      </c>
      <c r="I33" s="87" t="s">
        <v>444</v>
      </c>
      <c r="J33">
        <v>50</v>
      </c>
    </row>
    <row r="34" spans="1:11" x14ac:dyDescent="0.3">
      <c r="A34" t="s">
        <v>447</v>
      </c>
      <c r="B34" t="s">
        <v>36</v>
      </c>
      <c r="C34" t="s">
        <v>448</v>
      </c>
      <c r="D34" t="s">
        <v>478</v>
      </c>
      <c r="E34">
        <v>78</v>
      </c>
      <c r="F34" t="s">
        <v>24</v>
      </c>
      <c r="G34" s="4">
        <v>0.55000000000000004</v>
      </c>
      <c r="H34">
        <v>99.9</v>
      </c>
      <c r="I34" s="87" t="s">
        <v>449</v>
      </c>
      <c r="J34">
        <v>56</v>
      </c>
    </row>
    <row r="35" spans="1:11" x14ac:dyDescent="0.3">
      <c r="A35" t="s">
        <v>452</v>
      </c>
      <c r="B35" t="s">
        <v>169</v>
      </c>
      <c r="C35" t="s">
        <v>454</v>
      </c>
      <c r="D35" t="s">
        <v>453</v>
      </c>
      <c r="E35">
        <v>80</v>
      </c>
      <c r="F35" t="s">
        <v>24</v>
      </c>
      <c r="G35" s="4">
        <v>0.55000000000000004</v>
      </c>
      <c r="H35">
        <v>99.9</v>
      </c>
      <c r="I35" s="16" t="s">
        <v>176</v>
      </c>
      <c r="J35">
        <v>50</v>
      </c>
    </row>
    <row r="36" spans="1:11" x14ac:dyDescent="0.3">
      <c r="A36" t="s">
        <v>456</v>
      </c>
      <c r="B36" t="s">
        <v>169</v>
      </c>
      <c r="C36" t="s">
        <v>458</v>
      </c>
      <c r="D36" t="s">
        <v>457</v>
      </c>
      <c r="E36">
        <v>83</v>
      </c>
      <c r="F36" t="s">
        <v>24</v>
      </c>
      <c r="G36" s="4">
        <v>0.55000000000000004</v>
      </c>
      <c r="H36">
        <v>99.9</v>
      </c>
      <c r="I36" s="16" t="s">
        <v>427</v>
      </c>
      <c r="J36">
        <v>50</v>
      </c>
    </row>
    <row r="37" spans="1:11" x14ac:dyDescent="0.3">
      <c r="A37" t="s">
        <v>476</v>
      </c>
      <c r="B37" t="s">
        <v>36</v>
      </c>
      <c r="C37" t="s">
        <v>477</v>
      </c>
      <c r="D37" t="s">
        <v>479</v>
      </c>
      <c r="E37">
        <v>85</v>
      </c>
      <c r="F37" t="s">
        <v>24</v>
      </c>
      <c r="G37" s="4">
        <v>0.55000000000000004</v>
      </c>
      <c r="H37">
        <v>99.9</v>
      </c>
      <c r="I37" s="16" t="s">
        <v>480</v>
      </c>
      <c r="J37" t="s">
        <v>482</v>
      </c>
      <c r="K37" t="s">
        <v>481</v>
      </c>
    </row>
    <row r="38" spans="1:11" x14ac:dyDescent="0.3">
      <c r="A38" t="s">
        <v>484</v>
      </c>
      <c r="B38" t="s">
        <v>32</v>
      </c>
      <c r="C38" t="s">
        <v>486</v>
      </c>
      <c r="D38" t="s">
        <v>485</v>
      </c>
      <c r="E38">
        <v>83</v>
      </c>
      <c r="F38" t="s">
        <v>24</v>
      </c>
      <c r="G38" s="4">
        <v>0.55000000000000004</v>
      </c>
      <c r="H38">
        <v>99.9</v>
      </c>
      <c r="I38" s="87" t="s">
        <v>487</v>
      </c>
      <c r="J38">
        <v>66</v>
      </c>
    </row>
    <row r="39" spans="1:11" x14ac:dyDescent="0.3">
      <c r="A39" t="s">
        <v>502</v>
      </c>
      <c r="B39" t="s">
        <v>36</v>
      </c>
      <c r="C39" t="s">
        <v>504</v>
      </c>
      <c r="D39" t="s">
        <v>503</v>
      </c>
      <c r="E39">
        <v>81</v>
      </c>
      <c r="F39" t="s">
        <v>24</v>
      </c>
      <c r="G39" s="4">
        <v>0.55000000000000004</v>
      </c>
      <c r="H39">
        <v>99.9</v>
      </c>
      <c r="I39" s="87" t="s">
        <v>505</v>
      </c>
      <c r="J39">
        <v>70</v>
      </c>
    </row>
    <row r="40" spans="1:11" x14ac:dyDescent="0.3">
      <c r="A40" t="s">
        <v>529</v>
      </c>
      <c r="B40" t="s">
        <v>169</v>
      </c>
      <c r="C40" t="s">
        <v>530</v>
      </c>
      <c r="D40" t="s">
        <v>531</v>
      </c>
      <c r="E40">
        <v>87</v>
      </c>
      <c r="F40" t="s">
        <v>24</v>
      </c>
      <c r="G40" s="4">
        <v>0.55000000000000004</v>
      </c>
      <c r="H40">
        <v>99.9</v>
      </c>
      <c r="I40" s="87" t="s">
        <v>532</v>
      </c>
      <c r="J40">
        <v>56</v>
      </c>
    </row>
    <row r="41" spans="1:11" x14ac:dyDescent="0.3">
      <c r="A41" t="s">
        <v>534</v>
      </c>
      <c r="B41" t="s">
        <v>36</v>
      </c>
      <c r="C41" t="s">
        <v>535</v>
      </c>
      <c r="D41" t="s">
        <v>536</v>
      </c>
      <c r="E41">
        <v>84</v>
      </c>
      <c r="F41" t="s">
        <v>24</v>
      </c>
      <c r="G41" s="4">
        <v>0.56999999999999995</v>
      </c>
      <c r="H41">
        <v>99.9</v>
      </c>
      <c r="I41" s="87" t="s">
        <v>537</v>
      </c>
      <c r="J41">
        <v>66</v>
      </c>
    </row>
    <row r="42" spans="1:11" x14ac:dyDescent="0.3">
      <c r="A42" t="s">
        <v>539</v>
      </c>
      <c r="B42" t="s">
        <v>169</v>
      </c>
      <c r="C42" t="s">
        <v>540</v>
      </c>
      <c r="D42" t="s">
        <v>457</v>
      </c>
      <c r="E42">
        <v>85</v>
      </c>
      <c r="F42" t="s">
        <v>24</v>
      </c>
      <c r="G42" s="4">
        <v>0.56999999999999995</v>
      </c>
      <c r="H42">
        <v>99.9</v>
      </c>
      <c r="I42" s="87" t="s">
        <v>541</v>
      </c>
      <c r="J42">
        <v>55</v>
      </c>
    </row>
    <row r="43" spans="1:11" x14ac:dyDescent="0.3">
      <c r="A43" t="s">
        <v>560</v>
      </c>
      <c r="B43" t="s">
        <v>169</v>
      </c>
      <c r="C43" t="s">
        <v>561</v>
      </c>
      <c r="D43" t="s">
        <v>531</v>
      </c>
      <c r="E43">
        <v>84</v>
      </c>
      <c r="F43" t="s">
        <v>24</v>
      </c>
      <c r="G43" s="4">
        <v>0.54</v>
      </c>
      <c r="I43" s="87" t="s">
        <v>563</v>
      </c>
      <c r="J43">
        <v>50</v>
      </c>
      <c r="K43" t="s">
        <v>562</v>
      </c>
    </row>
    <row r="44" spans="1:11" x14ac:dyDescent="0.3">
      <c r="A44" t="s">
        <v>565</v>
      </c>
      <c r="B44" t="s">
        <v>169</v>
      </c>
      <c r="C44" t="s">
        <v>566</v>
      </c>
      <c r="D44" t="s">
        <v>567</v>
      </c>
      <c r="E44">
        <v>84</v>
      </c>
      <c r="F44" t="s">
        <v>24</v>
      </c>
      <c r="G44" s="4">
        <v>0.55000000000000004</v>
      </c>
      <c r="I44" s="87" t="s">
        <v>568</v>
      </c>
      <c r="J44">
        <v>50</v>
      </c>
      <c r="K44" t="s">
        <v>562</v>
      </c>
    </row>
    <row r="45" spans="1:11" x14ac:dyDescent="0.3">
      <c r="A45" t="s">
        <v>570</v>
      </c>
      <c r="B45" t="s">
        <v>169</v>
      </c>
      <c r="C45" t="s">
        <v>574</v>
      </c>
      <c r="D45" t="s">
        <v>571</v>
      </c>
      <c r="E45">
        <v>86</v>
      </c>
      <c r="F45" t="s">
        <v>24</v>
      </c>
      <c r="G45" s="4">
        <v>0.55000000000000004</v>
      </c>
      <c r="I45" s="87" t="s">
        <v>526</v>
      </c>
      <c r="J45">
        <v>74</v>
      </c>
      <c r="K45" t="s">
        <v>575</v>
      </c>
    </row>
  </sheetData>
  <conditionalFormatting sqref="F2:F45">
    <cfRule type="cellIs" dxfId="3" priority="3" operator="equal">
      <formula>"לא"</formula>
    </cfRule>
    <cfRule type="cellIs" dxfId="2" priority="4" operator="equal">
      <formula>"כן"</formula>
    </cfRule>
  </conditionalFormatting>
  <conditionalFormatting sqref="G2">
    <cfRule type="cellIs" dxfId="1" priority="1" operator="equal">
      <formula>"לא"</formula>
    </cfRule>
    <cfRule type="cellIs" dxfId="0" priority="2" operator="equal">
      <formula>"כן"</formula>
    </cfRule>
  </conditionalFormatting>
  <dataValidations count="1">
    <dataValidation type="list" allowBlank="1" showInputMessage="1" showErrorMessage="1" sqref="G2 F2:F45" xr:uid="{67FE83E6-D3C8-487E-B5F2-77592DCC460D}">
      <formula1>"כן, לא"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0E2EBE-4C1E-4687-8305-3BBC5ED3615B}">
          <x14:formula1>
            <xm:f>'קבלת חומרי גלם'!$S$3:$S$10</xm:f>
          </x14:formula1>
          <xm:sqref>B2:B45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4"/>
  <sheetViews>
    <sheetView rightToLeft="1" tabSelected="1" topLeftCell="A48" workbookViewId="0">
      <selection activeCell="C67" sqref="C67"/>
    </sheetView>
  </sheetViews>
  <sheetFormatPr defaultRowHeight="14" x14ac:dyDescent="0.3"/>
  <cols>
    <col min="1" max="1" width="10.1640625" style="5" customWidth="1"/>
    <col min="2" max="3" width="12.4140625" style="5" customWidth="1"/>
    <col min="4" max="4" width="6.1640625" style="5" customWidth="1"/>
    <col min="5" max="5" width="12.9140625" style="102" customWidth="1"/>
    <col min="6" max="6" width="15.5" style="5" customWidth="1"/>
    <col min="7" max="7" width="13.75" style="5" customWidth="1"/>
    <col min="8" max="9" width="9.9140625" style="5" bestFit="1" customWidth="1"/>
    <col min="10" max="10" width="13.33203125" style="5" customWidth="1"/>
    <col min="11" max="11" width="13.08203125" style="5" customWidth="1"/>
    <col min="12" max="12" width="14.6640625" style="5" bestFit="1" customWidth="1"/>
    <col min="13" max="13" width="11.6640625" style="5" bestFit="1" customWidth="1"/>
    <col min="14" max="16384" width="8.6640625" style="5"/>
  </cols>
  <sheetData>
    <row r="1" spans="1:14" ht="28" x14ac:dyDescent="0.3">
      <c r="A1" s="22" t="s">
        <v>42</v>
      </c>
      <c r="B1" s="23" t="s">
        <v>21</v>
      </c>
      <c r="C1" s="32" t="s">
        <v>73</v>
      </c>
      <c r="D1" s="66" t="s">
        <v>197</v>
      </c>
      <c r="E1" s="100" t="s">
        <v>27</v>
      </c>
      <c r="F1" s="23" t="s">
        <v>9</v>
      </c>
      <c r="G1" s="23" t="s">
        <v>45</v>
      </c>
      <c r="H1" s="23" t="s">
        <v>11</v>
      </c>
      <c r="I1" s="23" t="s">
        <v>12</v>
      </c>
      <c r="J1" s="23" t="s">
        <v>13</v>
      </c>
      <c r="K1" s="23" t="s">
        <v>43</v>
      </c>
      <c r="L1" s="23" t="s">
        <v>14</v>
      </c>
      <c r="M1" s="24" t="s">
        <v>49</v>
      </c>
      <c r="N1" s="23" t="s">
        <v>8</v>
      </c>
    </row>
    <row r="2" spans="1:14" ht="14.5" thickBot="1" x14ac:dyDescent="0.35">
      <c r="A2" s="7"/>
      <c r="B2" s="8"/>
      <c r="C2" s="8"/>
      <c r="D2" s="8"/>
      <c r="E2" s="101"/>
      <c r="F2" s="8"/>
      <c r="G2" s="8" t="s">
        <v>47</v>
      </c>
      <c r="H2" s="8" t="s">
        <v>46</v>
      </c>
      <c r="I2" s="8" t="s">
        <v>46</v>
      </c>
      <c r="J2" s="8" t="s">
        <v>47</v>
      </c>
      <c r="K2" s="8"/>
      <c r="L2" s="8" t="s">
        <v>48</v>
      </c>
      <c r="M2" s="21"/>
    </row>
    <row r="3" spans="1:14" x14ac:dyDescent="0.3">
      <c r="A3" s="5" t="s">
        <v>36</v>
      </c>
      <c r="B3" s="5" t="s">
        <v>98</v>
      </c>
      <c r="C3" s="5" t="s">
        <v>165</v>
      </c>
      <c r="F3" s="6">
        <v>0.37</v>
      </c>
      <c r="G3" s="5" t="s">
        <v>24</v>
      </c>
      <c r="H3" s="5" t="s">
        <v>23</v>
      </c>
      <c r="I3" s="5" t="s">
        <v>23</v>
      </c>
      <c r="J3" s="5" t="s">
        <v>24</v>
      </c>
      <c r="K3" s="5">
        <v>135</v>
      </c>
      <c r="L3" s="5" t="s">
        <v>25</v>
      </c>
      <c r="M3" s="44" t="s">
        <v>26</v>
      </c>
    </row>
    <row r="4" spans="1:14" x14ac:dyDescent="0.3">
      <c r="A4" s="5" t="s">
        <v>36</v>
      </c>
      <c r="B4" s="5" t="s">
        <v>22</v>
      </c>
      <c r="C4" s="5" t="s">
        <v>165</v>
      </c>
      <c r="E4" s="102" t="s">
        <v>35</v>
      </c>
      <c r="F4" s="6">
        <v>0.37</v>
      </c>
      <c r="G4" s="6" t="s">
        <v>24</v>
      </c>
      <c r="H4" s="5" t="s">
        <v>23</v>
      </c>
      <c r="I4" s="5" t="s">
        <v>23</v>
      </c>
      <c r="J4" s="5" t="s">
        <v>24</v>
      </c>
      <c r="K4" s="5">
        <v>60</v>
      </c>
      <c r="L4" s="5" t="s">
        <v>25</v>
      </c>
      <c r="M4" s="5" t="s">
        <v>26</v>
      </c>
    </row>
    <row r="5" spans="1:14" x14ac:dyDescent="0.3">
      <c r="A5" s="5" t="s">
        <v>36</v>
      </c>
      <c r="B5" s="5" t="s">
        <v>72</v>
      </c>
      <c r="C5" s="5" t="s">
        <v>165</v>
      </c>
      <c r="E5" s="102" t="s">
        <v>35</v>
      </c>
      <c r="F5" s="6">
        <v>0.37</v>
      </c>
      <c r="G5" s="5" t="s">
        <v>24</v>
      </c>
      <c r="H5" s="5" t="s">
        <v>23</v>
      </c>
      <c r="I5" s="5" t="s">
        <v>23</v>
      </c>
      <c r="J5" s="5" t="s">
        <v>24</v>
      </c>
      <c r="K5" s="5">
        <v>119</v>
      </c>
      <c r="L5" s="5" t="s">
        <v>25</v>
      </c>
      <c r="M5" s="5" t="s">
        <v>26</v>
      </c>
    </row>
    <row r="6" spans="1:14" x14ac:dyDescent="0.3">
      <c r="A6" s="5" t="s">
        <v>36</v>
      </c>
      <c r="B6" s="5" t="s">
        <v>146</v>
      </c>
      <c r="C6" s="5" t="s">
        <v>165</v>
      </c>
      <c r="E6" s="102" t="s">
        <v>35</v>
      </c>
      <c r="F6" s="6">
        <v>0.37</v>
      </c>
      <c r="G6" s="5" t="s">
        <v>24</v>
      </c>
      <c r="H6" s="5" t="s">
        <v>23</v>
      </c>
      <c r="I6" s="5" t="s">
        <v>23</v>
      </c>
      <c r="J6" s="5" t="s">
        <v>24</v>
      </c>
      <c r="K6" s="5">
        <v>58</v>
      </c>
      <c r="L6" s="5" t="s">
        <v>25</v>
      </c>
      <c r="M6" s="5" t="s">
        <v>26</v>
      </c>
    </row>
    <row r="7" spans="1:14" x14ac:dyDescent="0.3">
      <c r="A7" s="5" t="s">
        <v>32</v>
      </c>
      <c r="B7" s="5" t="s">
        <v>98</v>
      </c>
      <c r="C7" s="5" t="s">
        <v>195</v>
      </c>
      <c r="F7" s="6">
        <v>0.37</v>
      </c>
      <c r="G7" s="5" t="s">
        <v>24</v>
      </c>
      <c r="H7" s="5" t="s">
        <v>23</v>
      </c>
      <c r="I7" s="5" t="s">
        <v>23</v>
      </c>
      <c r="J7" s="5" t="s">
        <v>24</v>
      </c>
      <c r="K7" s="5">
        <v>166</v>
      </c>
      <c r="L7" s="5" t="s">
        <v>25</v>
      </c>
      <c r="M7" s="5" t="s">
        <v>26</v>
      </c>
    </row>
    <row r="8" spans="1:14" x14ac:dyDescent="0.3">
      <c r="A8" s="5" t="s">
        <v>169</v>
      </c>
      <c r="B8" s="5" t="s">
        <v>98</v>
      </c>
      <c r="C8" s="5" t="s">
        <v>167</v>
      </c>
      <c r="F8" s="6">
        <v>0.37</v>
      </c>
      <c r="G8" s="5" t="s">
        <v>24</v>
      </c>
      <c r="H8" s="5" t="s">
        <v>23</v>
      </c>
      <c r="I8" s="5" t="s">
        <v>23</v>
      </c>
      <c r="J8" s="5" t="s">
        <v>24</v>
      </c>
      <c r="K8" s="5">
        <v>95</v>
      </c>
      <c r="L8" s="5" t="s">
        <v>25</v>
      </c>
      <c r="M8" s="5" t="s">
        <v>26</v>
      </c>
    </row>
    <row r="9" spans="1:14" x14ac:dyDescent="0.3">
      <c r="A9" s="5" t="s">
        <v>56</v>
      </c>
      <c r="B9" s="5" t="s">
        <v>98</v>
      </c>
      <c r="C9" s="5" t="s">
        <v>167</v>
      </c>
      <c r="F9" s="6">
        <v>0.37</v>
      </c>
      <c r="G9" s="5" t="s">
        <v>24</v>
      </c>
      <c r="H9" s="5" t="s">
        <v>23</v>
      </c>
      <c r="I9" s="5" t="s">
        <v>23</v>
      </c>
      <c r="J9" s="5" t="s">
        <v>24</v>
      </c>
      <c r="K9" s="5">
        <v>0</v>
      </c>
      <c r="L9" s="5" t="s">
        <v>25</v>
      </c>
      <c r="M9" s="5" t="s">
        <v>26</v>
      </c>
    </row>
    <row r="10" spans="1:14" x14ac:dyDescent="0.3">
      <c r="A10" s="5" t="s">
        <v>136</v>
      </c>
      <c r="D10" s="5" t="s">
        <v>178</v>
      </c>
      <c r="F10" s="6">
        <v>0.46</v>
      </c>
      <c r="K10" s="5">
        <v>7</v>
      </c>
      <c r="L10" s="5" t="s">
        <v>187</v>
      </c>
    </row>
    <row r="11" spans="1:14" x14ac:dyDescent="0.3">
      <c r="A11" s="5" t="s">
        <v>137</v>
      </c>
      <c r="C11" s="5">
        <v>0</v>
      </c>
      <c r="K11" s="5">
        <v>0</v>
      </c>
    </row>
    <row r="12" spans="1:14" x14ac:dyDescent="0.3">
      <c r="A12" s="5" t="s">
        <v>56</v>
      </c>
      <c r="B12" s="84">
        <v>45655</v>
      </c>
      <c r="C12" s="5" t="s">
        <v>168</v>
      </c>
      <c r="E12" s="102" t="s">
        <v>98</v>
      </c>
      <c r="F12" s="6">
        <v>0.37</v>
      </c>
      <c r="G12" s="5" t="s">
        <v>24</v>
      </c>
      <c r="H12" s="5" t="s">
        <v>23</v>
      </c>
      <c r="I12" s="5" t="s">
        <v>23</v>
      </c>
      <c r="J12" s="5" t="s">
        <v>24</v>
      </c>
      <c r="K12" s="5">
        <v>150</v>
      </c>
      <c r="L12" s="5" t="s">
        <v>25</v>
      </c>
      <c r="M12" s="5" t="s">
        <v>26</v>
      </c>
    </row>
    <row r="13" spans="1:14" x14ac:dyDescent="0.3">
      <c r="A13" s="5" t="s">
        <v>56</v>
      </c>
      <c r="B13" s="84"/>
      <c r="C13" s="5" t="s">
        <v>168</v>
      </c>
    </row>
    <row r="14" spans="1:14" x14ac:dyDescent="0.3">
      <c r="A14" s="5" t="s">
        <v>136</v>
      </c>
      <c r="B14" s="84">
        <v>45664</v>
      </c>
      <c r="C14" s="5" t="s">
        <v>198</v>
      </c>
      <c r="D14" s="5" t="s">
        <v>179</v>
      </c>
      <c r="E14" s="102" t="s">
        <v>180</v>
      </c>
      <c r="F14" s="6">
        <v>0.55000000000000004</v>
      </c>
      <c r="G14" s="5" t="s">
        <v>24</v>
      </c>
      <c r="H14" s="5" t="s">
        <v>23</v>
      </c>
      <c r="I14" s="5" t="s">
        <v>23</v>
      </c>
      <c r="J14" s="5" t="s">
        <v>24</v>
      </c>
      <c r="K14" s="5" t="s">
        <v>187</v>
      </c>
    </row>
    <row r="15" spans="1:14" x14ac:dyDescent="0.3">
      <c r="A15" s="5" t="s">
        <v>32</v>
      </c>
      <c r="B15" s="84">
        <v>45674</v>
      </c>
      <c r="C15" s="5" t="s">
        <v>166</v>
      </c>
      <c r="E15" s="102" t="s">
        <v>194</v>
      </c>
      <c r="F15" s="6">
        <v>0.37</v>
      </c>
      <c r="G15" s="5" t="s">
        <v>24</v>
      </c>
      <c r="H15" s="5" t="s">
        <v>23</v>
      </c>
      <c r="I15" s="5" t="s">
        <v>23</v>
      </c>
      <c r="J15" s="5" t="s">
        <v>24</v>
      </c>
      <c r="K15" s="5">
        <v>138</v>
      </c>
      <c r="L15" s="5" t="s">
        <v>25</v>
      </c>
      <c r="M15" s="5" t="s">
        <v>26</v>
      </c>
    </row>
    <row r="16" spans="1:14" x14ac:dyDescent="0.3">
      <c r="A16" s="5" t="s">
        <v>169</v>
      </c>
      <c r="B16" s="84">
        <v>45683</v>
      </c>
      <c r="C16" s="5" t="s">
        <v>202</v>
      </c>
      <c r="E16" s="102" t="s">
        <v>203</v>
      </c>
      <c r="F16" s="6">
        <v>0.37</v>
      </c>
      <c r="G16" s="5" t="s">
        <v>24</v>
      </c>
      <c r="H16" s="5" t="s">
        <v>23</v>
      </c>
      <c r="I16" s="5" t="s">
        <v>23</v>
      </c>
      <c r="J16" s="5" t="s">
        <v>24</v>
      </c>
      <c r="K16" s="5">
        <v>105</v>
      </c>
      <c r="L16" s="5" t="s">
        <v>25</v>
      </c>
      <c r="M16" s="5" t="s">
        <v>26</v>
      </c>
    </row>
    <row r="17" spans="1:14" x14ac:dyDescent="0.3">
      <c r="A17" s="5" t="s">
        <v>56</v>
      </c>
      <c r="B17" s="84">
        <v>45707</v>
      </c>
      <c r="C17" s="5" t="s">
        <v>253</v>
      </c>
      <c r="E17" s="102" t="s">
        <v>254</v>
      </c>
      <c r="F17" s="6">
        <v>0.37</v>
      </c>
      <c r="G17" s="5" t="s">
        <v>24</v>
      </c>
      <c r="H17" s="5" t="s">
        <v>23</v>
      </c>
      <c r="I17" s="5" t="s">
        <v>23</v>
      </c>
      <c r="J17" s="5" t="s">
        <v>24</v>
      </c>
      <c r="K17" s="5">
        <v>143</v>
      </c>
      <c r="L17" s="5" t="s">
        <v>25</v>
      </c>
      <c r="M17" s="5" t="s">
        <v>26</v>
      </c>
    </row>
    <row r="18" spans="1:14" x14ac:dyDescent="0.3">
      <c r="A18" s="5" t="s">
        <v>136</v>
      </c>
      <c r="B18" s="84">
        <v>45708</v>
      </c>
      <c r="D18" s="5" t="s">
        <v>178</v>
      </c>
      <c r="F18" s="6">
        <v>0.46</v>
      </c>
      <c r="G18" s="5" t="s">
        <v>24</v>
      </c>
      <c r="H18" s="5" t="s">
        <v>23</v>
      </c>
      <c r="I18" s="5" t="s">
        <v>23</v>
      </c>
      <c r="J18" s="5" t="s">
        <v>24</v>
      </c>
      <c r="K18" s="5">
        <v>108</v>
      </c>
      <c r="L18" s="5" t="s">
        <v>25</v>
      </c>
      <c r="M18" s="5" t="s">
        <v>26</v>
      </c>
    </row>
    <row r="19" spans="1:14" x14ac:dyDescent="0.3">
      <c r="A19" s="5" t="s">
        <v>36</v>
      </c>
      <c r="B19" s="84">
        <v>45714</v>
      </c>
      <c r="C19" s="5" t="s">
        <v>220</v>
      </c>
      <c r="E19" s="102" t="s">
        <v>262</v>
      </c>
      <c r="F19" s="6">
        <v>0.37</v>
      </c>
      <c r="G19" s="5" t="s">
        <v>24</v>
      </c>
      <c r="H19" s="5" t="s">
        <v>23</v>
      </c>
      <c r="I19" s="5" t="s">
        <v>23</v>
      </c>
      <c r="J19" s="5" t="s">
        <v>24</v>
      </c>
      <c r="K19" s="5">
        <v>173</v>
      </c>
      <c r="L19" s="5" t="s">
        <v>25</v>
      </c>
      <c r="M19" s="5" t="s">
        <v>26</v>
      </c>
    </row>
    <row r="20" spans="1:14" x14ac:dyDescent="0.3">
      <c r="A20" s="5" t="s">
        <v>56</v>
      </c>
      <c r="B20" s="84">
        <v>45715</v>
      </c>
      <c r="C20" s="5" t="s">
        <v>253</v>
      </c>
      <c r="E20" s="102" t="s">
        <v>254</v>
      </c>
      <c r="F20" s="6">
        <v>0.37</v>
      </c>
      <c r="G20" s="5" t="s">
        <v>24</v>
      </c>
      <c r="H20" s="5" t="s">
        <v>23</v>
      </c>
      <c r="I20" s="5" t="s">
        <v>23</v>
      </c>
      <c r="J20" s="5" t="s">
        <v>24</v>
      </c>
      <c r="K20" s="5">
        <v>42</v>
      </c>
      <c r="L20" s="5" t="s">
        <v>25</v>
      </c>
      <c r="M20" s="5" t="s">
        <v>26</v>
      </c>
    </row>
    <row r="21" spans="1:14" x14ac:dyDescent="0.3">
      <c r="A21" s="5" t="s">
        <v>32</v>
      </c>
      <c r="B21" s="84">
        <v>45728</v>
      </c>
      <c r="C21" s="5" t="s">
        <v>241</v>
      </c>
      <c r="E21" s="102" t="s">
        <v>239</v>
      </c>
      <c r="F21" s="6">
        <v>0.37</v>
      </c>
      <c r="G21" s="5" t="s">
        <v>24</v>
      </c>
      <c r="H21" s="5" t="s">
        <v>23</v>
      </c>
      <c r="I21" s="5" t="s">
        <v>23</v>
      </c>
      <c r="J21" s="5" t="s">
        <v>24</v>
      </c>
      <c r="K21" s="5">
        <v>186</v>
      </c>
      <c r="L21" s="5" t="s">
        <v>25</v>
      </c>
      <c r="M21" s="5" t="s">
        <v>26</v>
      </c>
    </row>
    <row r="22" spans="1:14" x14ac:dyDescent="0.3">
      <c r="A22" s="5" t="s">
        <v>36</v>
      </c>
      <c r="B22" s="84">
        <v>45729</v>
      </c>
      <c r="C22" s="5" t="s">
        <v>261</v>
      </c>
      <c r="E22" s="102" t="s">
        <v>259</v>
      </c>
      <c r="F22" s="6">
        <v>0.37</v>
      </c>
      <c r="G22" s="5" t="s">
        <v>24</v>
      </c>
      <c r="H22" s="5" t="s">
        <v>23</v>
      </c>
      <c r="I22" s="5" t="s">
        <v>23</v>
      </c>
      <c r="J22" s="5" t="s">
        <v>24</v>
      </c>
      <c r="K22" s="5">
        <v>203</v>
      </c>
      <c r="L22" s="5" t="s">
        <v>25</v>
      </c>
      <c r="M22" s="5" t="s">
        <v>26</v>
      </c>
    </row>
    <row r="23" spans="1:14" x14ac:dyDescent="0.3">
      <c r="A23" s="5" t="s">
        <v>136</v>
      </c>
      <c r="B23" s="84">
        <v>45732</v>
      </c>
      <c r="D23" s="5" t="s">
        <v>178</v>
      </c>
      <c r="F23" s="6">
        <v>0.46</v>
      </c>
      <c r="G23" s="5" t="s">
        <v>24</v>
      </c>
      <c r="H23" s="5" t="s">
        <v>23</v>
      </c>
      <c r="I23" s="5" t="s">
        <v>23</v>
      </c>
      <c r="J23" s="5" t="s">
        <v>24</v>
      </c>
      <c r="K23" s="5">
        <v>130</v>
      </c>
      <c r="L23" s="5" t="s">
        <v>25</v>
      </c>
      <c r="M23" s="5" t="s">
        <v>26</v>
      </c>
    </row>
    <row r="24" spans="1:14" x14ac:dyDescent="0.3">
      <c r="A24" s="5" t="s">
        <v>136</v>
      </c>
      <c r="B24" s="84">
        <v>45736</v>
      </c>
      <c r="D24" s="5" t="s">
        <v>331</v>
      </c>
      <c r="E24" s="102" t="s">
        <v>581</v>
      </c>
      <c r="F24" s="6">
        <v>0.55000000000000004</v>
      </c>
      <c r="G24" s="5" t="s">
        <v>24</v>
      </c>
      <c r="H24" s="5" t="s">
        <v>23</v>
      </c>
      <c r="I24" s="5" t="s">
        <v>23</v>
      </c>
      <c r="J24" s="5" t="s">
        <v>24</v>
      </c>
      <c r="K24" s="5" t="s">
        <v>187</v>
      </c>
      <c r="L24" s="5" t="s">
        <v>25</v>
      </c>
      <c r="M24" s="5" t="s">
        <v>26</v>
      </c>
    </row>
    <row r="25" spans="1:14" x14ac:dyDescent="0.3">
      <c r="A25" s="5" t="s">
        <v>56</v>
      </c>
      <c r="B25" s="84">
        <v>45750</v>
      </c>
      <c r="C25" s="5" t="s">
        <v>246</v>
      </c>
      <c r="E25" s="102" t="s">
        <v>244</v>
      </c>
      <c r="F25" s="6">
        <v>0.37</v>
      </c>
      <c r="G25" s="5" t="s">
        <v>24</v>
      </c>
      <c r="H25" s="5" t="s">
        <v>23</v>
      </c>
      <c r="I25" s="5" t="s">
        <v>23</v>
      </c>
      <c r="J25" s="5" t="s">
        <v>24</v>
      </c>
      <c r="K25" s="5">
        <v>57</v>
      </c>
      <c r="L25" s="5" t="s">
        <v>25</v>
      </c>
      <c r="M25" s="5" t="s">
        <v>26</v>
      </c>
    </row>
    <row r="26" spans="1:14" x14ac:dyDescent="0.3">
      <c r="A26" s="5" t="s">
        <v>36</v>
      </c>
      <c r="B26" s="84">
        <v>45752</v>
      </c>
      <c r="C26" s="5" t="s">
        <v>287</v>
      </c>
      <c r="E26" s="102" t="s">
        <v>286</v>
      </c>
      <c r="F26" s="6">
        <v>0.37</v>
      </c>
      <c r="G26" s="5" t="s">
        <v>24</v>
      </c>
      <c r="H26" s="5" t="s">
        <v>23</v>
      </c>
      <c r="I26" s="5" t="s">
        <v>23</v>
      </c>
      <c r="J26" s="5" t="s">
        <v>24</v>
      </c>
      <c r="K26" s="5">
        <v>40</v>
      </c>
      <c r="L26" s="5" t="s">
        <v>25</v>
      </c>
      <c r="M26" s="5" t="s">
        <v>26</v>
      </c>
      <c r="N26" s="5" t="s">
        <v>295</v>
      </c>
    </row>
    <row r="27" spans="1:14" x14ac:dyDescent="0.3">
      <c r="A27" s="5" t="s">
        <v>32</v>
      </c>
      <c r="B27" s="84">
        <v>45752</v>
      </c>
      <c r="C27" s="5" t="s">
        <v>290</v>
      </c>
      <c r="E27" s="102" t="s">
        <v>289</v>
      </c>
      <c r="F27" s="6">
        <v>0.37</v>
      </c>
      <c r="G27" s="5" t="s">
        <v>24</v>
      </c>
      <c r="H27" s="5" t="s">
        <v>23</v>
      </c>
      <c r="I27" s="5" t="s">
        <v>23</v>
      </c>
      <c r="J27" s="5" t="s">
        <v>24</v>
      </c>
      <c r="K27" s="5">
        <v>40</v>
      </c>
      <c r="L27" s="5" t="s">
        <v>25</v>
      </c>
      <c r="M27" s="5" t="s">
        <v>26</v>
      </c>
      <c r="N27" s="5" t="s">
        <v>296</v>
      </c>
    </row>
    <row r="28" spans="1:14" x14ac:dyDescent="0.3">
      <c r="A28" s="5" t="s">
        <v>36</v>
      </c>
      <c r="B28" s="84">
        <v>45761</v>
      </c>
      <c r="C28" s="5" t="s">
        <v>287</v>
      </c>
      <c r="E28" s="102" t="s">
        <v>286</v>
      </c>
      <c r="F28" s="6">
        <v>0.37</v>
      </c>
      <c r="G28" s="5" t="s">
        <v>24</v>
      </c>
      <c r="H28" s="5" t="s">
        <v>23</v>
      </c>
      <c r="I28" s="5" t="s">
        <v>23</v>
      </c>
      <c r="J28" s="5" t="s">
        <v>24</v>
      </c>
      <c r="K28" s="5">
        <v>100</v>
      </c>
      <c r="L28" s="5" t="s">
        <v>25</v>
      </c>
      <c r="M28" s="5" t="s">
        <v>26</v>
      </c>
    </row>
    <row r="29" spans="1:14" x14ac:dyDescent="0.3">
      <c r="A29" s="5" t="s">
        <v>32</v>
      </c>
      <c r="B29" s="84">
        <v>45762</v>
      </c>
      <c r="C29" s="5" t="s">
        <v>290</v>
      </c>
      <c r="E29" s="102" t="s">
        <v>289</v>
      </c>
      <c r="F29" s="6">
        <v>0.37</v>
      </c>
      <c r="G29" s="5" t="s">
        <v>24</v>
      </c>
      <c r="H29" s="5" t="s">
        <v>23</v>
      </c>
      <c r="I29" s="5" t="s">
        <v>23</v>
      </c>
      <c r="J29" s="5" t="s">
        <v>24</v>
      </c>
      <c r="K29" s="5">
        <v>148</v>
      </c>
      <c r="L29" s="5" t="s">
        <v>25</v>
      </c>
      <c r="M29" s="5" t="s">
        <v>26</v>
      </c>
    </row>
    <row r="30" spans="1:14" x14ac:dyDescent="0.3">
      <c r="A30" s="5" t="s">
        <v>56</v>
      </c>
      <c r="B30" s="84">
        <v>45768</v>
      </c>
      <c r="C30" s="5" t="s">
        <v>252</v>
      </c>
      <c r="E30" s="102" t="s">
        <v>320</v>
      </c>
      <c r="F30" s="90">
        <v>0.375</v>
      </c>
      <c r="G30" s="5" t="s">
        <v>24</v>
      </c>
      <c r="H30" s="5" t="s">
        <v>23</v>
      </c>
      <c r="I30" s="5" t="s">
        <v>23</v>
      </c>
      <c r="J30" s="5" t="s">
        <v>24</v>
      </c>
      <c r="K30" s="5">
        <v>53</v>
      </c>
      <c r="L30" s="5" t="s">
        <v>25</v>
      </c>
      <c r="M30" s="5" t="s">
        <v>26</v>
      </c>
    </row>
    <row r="31" spans="1:14" x14ac:dyDescent="0.3">
      <c r="A31" s="5" t="s">
        <v>32</v>
      </c>
      <c r="B31" s="84">
        <v>45775</v>
      </c>
      <c r="C31" s="5" t="s">
        <v>290</v>
      </c>
      <c r="E31" s="102" t="s">
        <v>289</v>
      </c>
      <c r="F31" s="90">
        <v>0.375</v>
      </c>
      <c r="G31" s="5" t="s">
        <v>24</v>
      </c>
      <c r="H31" s="5" t="s">
        <v>23</v>
      </c>
      <c r="I31" s="5" t="s">
        <v>23</v>
      </c>
      <c r="J31" s="5" t="s">
        <v>24</v>
      </c>
      <c r="K31" s="5">
        <v>130</v>
      </c>
      <c r="L31" s="5" t="s">
        <v>25</v>
      </c>
      <c r="M31" s="5" t="s">
        <v>26</v>
      </c>
    </row>
    <row r="32" spans="1:14" x14ac:dyDescent="0.3">
      <c r="A32" s="5" t="s">
        <v>36</v>
      </c>
      <c r="B32" s="84">
        <v>45777</v>
      </c>
      <c r="C32" s="5" t="s">
        <v>300</v>
      </c>
      <c r="E32" s="102" t="s">
        <v>298</v>
      </c>
      <c r="F32" s="90">
        <v>0.375</v>
      </c>
      <c r="G32" s="5" t="s">
        <v>24</v>
      </c>
      <c r="H32" s="5" t="s">
        <v>23</v>
      </c>
      <c r="I32" s="5" t="s">
        <v>23</v>
      </c>
      <c r="J32" s="5" t="s">
        <v>24</v>
      </c>
      <c r="K32" s="5">
        <v>159</v>
      </c>
      <c r="L32" s="5" t="s">
        <v>25</v>
      </c>
      <c r="M32" s="5" t="s">
        <v>26</v>
      </c>
    </row>
    <row r="33" spans="1:14" x14ac:dyDescent="0.3">
      <c r="A33" s="5" t="s">
        <v>333</v>
      </c>
      <c r="B33" s="84">
        <v>45778</v>
      </c>
      <c r="D33" s="5" t="s">
        <v>407</v>
      </c>
      <c r="E33" s="102" t="s">
        <v>332</v>
      </c>
      <c r="F33" s="6">
        <v>0.4</v>
      </c>
      <c r="G33" s="5" t="s">
        <v>24</v>
      </c>
      <c r="H33" s="5" t="s">
        <v>23</v>
      </c>
      <c r="I33" s="5" t="s">
        <v>23</v>
      </c>
      <c r="J33" s="5" t="s">
        <v>24</v>
      </c>
      <c r="M33" s="5" t="s">
        <v>334</v>
      </c>
    </row>
    <row r="34" spans="1:14" x14ac:dyDescent="0.3">
      <c r="A34" s="5" t="s">
        <v>32</v>
      </c>
      <c r="B34" s="84">
        <v>45783</v>
      </c>
      <c r="C34" s="5" t="s">
        <v>290</v>
      </c>
      <c r="E34" s="102" t="s">
        <v>289</v>
      </c>
      <c r="F34" s="90">
        <v>0.375</v>
      </c>
      <c r="G34" s="5" t="s">
        <v>24</v>
      </c>
      <c r="H34" s="5" t="s">
        <v>23</v>
      </c>
      <c r="I34" s="5" t="s">
        <v>23</v>
      </c>
      <c r="J34" s="5" t="s">
        <v>24</v>
      </c>
      <c r="K34" s="5">
        <v>34</v>
      </c>
      <c r="L34" s="5" t="s">
        <v>25</v>
      </c>
      <c r="M34" s="5" t="s">
        <v>26</v>
      </c>
    </row>
    <row r="35" spans="1:14" x14ac:dyDescent="0.3">
      <c r="A35" s="5" t="s">
        <v>169</v>
      </c>
      <c r="B35" s="84">
        <v>45784</v>
      </c>
      <c r="C35" s="5" t="s">
        <v>278</v>
      </c>
      <c r="E35" s="102" t="s">
        <v>320</v>
      </c>
      <c r="F35" s="90">
        <v>0.375</v>
      </c>
      <c r="G35" s="5" t="s">
        <v>24</v>
      </c>
      <c r="H35" s="5" t="s">
        <v>23</v>
      </c>
      <c r="I35" s="5" t="s">
        <v>23</v>
      </c>
      <c r="J35" s="5" t="s">
        <v>24</v>
      </c>
      <c r="K35" s="5">
        <v>82</v>
      </c>
      <c r="L35" s="5" t="s">
        <v>25</v>
      </c>
      <c r="M35" s="5" t="s">
        <v>26</v>
      </c>
    </row>
    <row r="36" spans="1:14" x14ac:dyDescent="0.3">
      <c r="A36" s="5" t="s">
        <v>36</v>
      </c>
      <c r="B36" s="84">
        <v>45792</v>
      </c>
      <c r="C36" s="5" t="s">
        <v>328</v>
      </c>
      <c r="E36" s="102" t="s">
        <v>339</v>
      </c>
      <c r="F36" s="90">
        <v>0.375</v>
      </c>
      <c r="G36" s="5" t="s">
        <v>24</v>
      </c>
      <c r="H36" s="5" t="s">
        <v>23</v>
      </c>
      <c r="I36" s="5" t="s">
        <v>23</v>
      </c>
      <c r="J36" s="5" t="s">
        <v>24</v>
      </c>
      <c r="K36" s="5">
        <v>197</v>
      </c>
      <c r="L36" s="5" t="s">
        <v>25</v>
      </c>
      <c r="M36" s="5" t="s">
        <v>26</v>
      </c>
    </row>
    <row r="37" spans="1:14" x14ac:dyDescent="0.3">
      <c r="A37" s="5" t="s">
        <v>56</v>
      </c>
      <c r="B37" s="84">
        <v>45795</v>
      </c>
      <c r="C37" s="5" t="s">
        <v>278</v>
      </c>
      <c r="E37" s="102" t="s">
        <v>320</v>
      </c>
      <c r="F37" s="90">
        <v>0.375</v>
      </c>
      <c r="G37" s="5" t="s">
        <v>24</v>
      </c>
      <c r="H37" s="5" t="s">
        <v>23</v>
      </c>
      <c r="I37" s="5" t="s">
        <v>23</v>
      </c>
      <c r="J37" s="5" t="s">
        <v>24</v>
      </c>
      <c r="K37" s="5">
        <v>56</v>
      </c>
      <c r="L37" s="5" t="s">
        <v>25</v>
      </c>
      <c r="M37" s="5" t="s">
        <v>26</v>
      </c>
    </row>
    <row r="38" spans="1:14" x14ac:dyDescent="0.3">
      <c r="A38" s="5" t="s">
        <v>355</v>
      </c>
      <c r="B38" s="84">
        <v>45798</v>
      </c>
      <c r="C38" s="5" t="s">
        <v>312</v>
      </c>
      <c r="E38" s="102" t="s">
        <v>356</v>
      </c>
      <c r="F38" s="90">
        <v>0.375</v>
      </c>
      <c r="G38" s="5" t="s">
        <v>24</v>
      </c>
      <c r="H38" s="5" t="s">
        <v>23</v>
      </c>
      <c r="I38" s="5" t="s">
        <v>23</v>
      </c>
      <c r="J38" s="5" t="s">
        <v>24</v>
      </c>
      <c r="K38" s="5">
        <v>189</v>
      </c>
      <c r="L38" s="5" t="s">
        <v>25</v>
      </c>
      <c r="M38" s="5" t="s">
        <v>26</v>
      </c>
    </row>
    <row r="39" spans="1:14" x14ac:dyDescent="0.3">
      <c r="A39" s="5" t="s">
        <v>36</v>
      </c>
      <c r="B39" s="84">
        <v>45799</v>
      </c>
      <c r="C39" s="5" t="s">
        <v>350</v>
      </c>
      <c r="E39" s="102" t="s">
        <v>348</v>
      </c>
      <c r="F39" s="90">
        <v>0.375</v>
      </c>
      <c r="G39" s="5" t="s">
        <v>24</v>
      </c>
      <c r="H39" s="5" t="s">
        <v>23</v>
      </c>
      <c r="I39" s="5" t="s">
        <v>23</v>
      </c>
      <c r="J39" s="5" t="s">
        <v>24</v>
      </c>
      <c r="K39" s="5">
        <v>189</v>
      </c>
      <c r="L39" s="5" t="s">
        <v>25</v>
      </c>
      <c r="M39" s="5" t="s">
        <v>26</v>
      </c>
    </row>
    <row r="40" spans="1:14" x14ac:dyDescent="0.3">
      <c r="A40" s="5" t="s">
        <v>169</v>
      </c>
      <c r="B40" s="84">
        <v>45806</v>
      </c>
      <c r="C40" s="5" t="s">
        <v>305</v>
      </c>
      <c r="E40" s="102" t="s">
        <v>303</v>
      </c>
      <c r="F40" s="90">
        <v>0.375</v>
      </c>
      <c r="G40" s="5" t="s">
        <v>24</v>
      </c>
      <c r="H40" s="5" t="s">
        <v>23</v>
      </c>
      <c r="I40" s="5" t="s">
        <v>23</v>
      </c>
      <c r="J40" s="5" t="s">
        <v>24</v>
      </c>
      <c r="K40" s="5">
        <v>129</v>
      </c>
      <c r="L40" s="5" t="s">
        <v>25</v>
      </c>
      <c r="M40" s="5" t="s">
        <v>26</v>
      </c>
    </row>
    <row r="41" spans="1:14" x14ac:dyDescent="0.3">
      <c r="A41" s="5" t="s">
        <v>56</v>
      </c>
      <c r="B41" s="84">
        <v>45809</v>
      </c>
      <c r="C41" s="5" t="s">
        <v>305</v>
      </c>
      <c r="E41" s="102" t="s">
        <v>303</v>
      </c>
      <c r="F41" s="90">
        <v>0.375</v>
      </c>
      <c r="G41" s="5" t="s">
        <v>24</v>
      </c>
      <c r="H41" s="5" t="s">
        <v>23</v>
      </c>
      <c r="I41" s="5" t="s">
        <v>23</v>
      </c>
      <c r="J41" s="5" t="s">
        <v>24</v>
      </c>
      <c r="K41" s="5">
        <v>57</v>
      </c>
      <c r="L41" s="5" t="s">
        <v>25</v>
      </c>
      <c r="M41" s="5" t="s">
        <v>26</v>
      </c>
    </row>
    <row r="42" spans="1:14" x14ac:dyDescent="0.3">
      <c r="A42" s="5" t="s">
        <v>32</v>
      </c>
      <c r="B42" s="84">
        <v>45826</v>
      </c>
      <c r="C42" s="5" t="s">
        <v>341</v>
      </c>
      <c r="E42" s="102" t="s">
        <v>340</v>
      </c>
      <c r="F42" s="90">
        <v>0.375</v>
      </c>
      <c r="G42" s="5" t="s">
        <v>24</v>
      </c>
      <c r="H42" s="5" t="s">
        <v>23</v>
      </c>
      <c r="I42" s="5" t="s">
        <v>23</v>
      </c>
      <c r="J42" s="5" t="s">
        <v>24</v>
      </c>
      <c r="K42" s="5">
        <v>15</v>
      </c>
      <c r="L42" s="5" t="s">
        <v>25</v>
      </c>
      <c r="M42" s="5" t="s">
        <v>26</v>
      </c>
    </row>
    <row r="43" spans="1:14" x14ac:dyDescent="0.3">
      <c r="A43" s="5" t="s">
        <v>32</v>
      </c>
      <c r="B43" s="84">
        <v>45842</v>
      </c>
      <c r="C43" s="5" t="s">
        <v>378</v>
      </c>
      <c r="E43" s="102" t="s">
        <v>376</v>
      </c>
      <c r="F43" s="90">
        <v>0.375</v>
      </c>
      <c r="G43" s="5" t="s">
        <v>24</v>
      </c>
      <c r="H43" s="5" t="s">
        <v>23</v>
      </c>
      <c r="I43" s="5" t="s">
        <v>23</v>
      </c>
      <c r="J43" s="5" t="s">
        <v>24</v>
      </c>
      <c r="K43" s="5">
        <v>6</v>
      </c>
      <c r="L43" s="5" t="s">
        <v>25</v>
      </c>
      <c r="M43" s="5" t="s">
        <v>26</v>
      </c>
    </row>
    <row r="44" spans="1:14" x14ac:dyDescent="0.3">
      <c r="A44" s="5" t="s">
        <v>36</v>
      </c>
      <c r="B44" s="84">
        <v>45842</v>
      </c>
      <c r="C44" s="5" t="s">
        <v>373</v>
      </c>
      <c r="E44" s="102" t="s">
        <v>371</v>
      </c>
      <c r="F44" s="90">
        <v>0.375</v>
      </c>
      <c r="G44" s="5" t="s">
        <v>24</v>
      </c>
      <c r="H44" s="5" t="s">
        <v>23</v>
      </c>
      <c r="I44" s="5" t="s">
        <v>23</v>
      </c>
      <c r="J44" s="5" t="s">
        <v>24</v>
      </c>
      <c r="K44" s="5">
        <v>6</v>
      </c>
      <c r="L44" s="5" t="s">
        <v>25</v>
      </c>
      <c r="M44" s="5" t="s">
        <v>26</v>
      </c>
    </row>
    <row r="45" spans="1:14" x14ac:dyDescent="0.3">
      <c r="A45" s="5" t="s">
        <v>406</v>
      </c>
      <c r="B45" s="84">
        <v>45842</v>
      </c>
      <c r="D45" s="5" t="s">
        <v>495</v>
      </c>
      <c r="E45" s="102" t="s">
        <v>408</v>
      </c>
      <c r="F45" s="6">
        <v>0.55000000000000004</v>
      </c>
      <c r="G45" s="5" t="s">
        <v>24</v>
      </c>
      <c r="H45" s="5" t="s">
        <v>23</v>
      </c>
      <c r="I45" s="5" t="s">
        <v>23</v>
      </c>
      <c r="J45" s="5" t="s">
        <v>24</v>
      </c>
      <c r="N45" s="5" t="s">
        <v>409</v>
      </c>
    </row>
    <row r="46" spans="1:14" x14ac:dyDescent="0.3">
      <c r="A46" s="5" t="s">
        <v>36</v>
      </c>
      <c r="B46" s="84">
        <v>45847</v>
      </c>
      <c r="C46" s="5" t="s">
        <v>373</v>
      </c>
      <c r="E46" s="102" t="s">
        <v>371</v>
      </c>
      <c r="F46" s="90">
        <v>0.375</v>
      </c>
      <c r="G46" s="5" t="s">
        <v>24</v>
      </c>
      <c r="H46" s="5" t="s">
        <v>23</v>
      </c>
      <c r="I46" s="5" t="s">
        <v>23</v>
      </c>
      <c r="J46" s="5" t="s">
        <v>24</v>
      </c>
      <c r="K46" s="5">
        <v>112</v>
      </c>
      <c r="L46" s="5" t="s">
        <v>25</v>
      </c>
      <c r="M46" s="5" t="s">
        <v>26</v>
      </c>
    </row>
    <row r="47" spans="1:14" x14ac:dyDescent="0.3">
      <c r="A47" s="5" t="s">
        <v>56</v>
      </c>
      <c r="B47" s="84">
        <v>45847</v>
      </c>
      <c r="C47" s="5" t="s">
        <v>315</v>
      </c>
      <c r="F47" s="90">
        <v>0.375</v>
      </c>
      <c r="G47" s="5" t="s">
        <v>24</v>
      </c>
      <c r="H47" s="5" t="s">
        <v>23</v>
      </c>
      <c r="I47" s="5" t="s">
        <v>23</v>
      </c>
      <c r="J47" s="5" t="s">
        <v>24</v>
      </c>
      <c r="K47" s="5">
        <v>51</v>
      </c>
      <c r="L47" s="5" t="s">
        <v>25</v>
      </c>
      <c r="M47" s="5" t="s">
        <v>26</v>
      </c>
    </row>
    <row r="48" spans="1:14" x14ac:dyDescent="0.3">
      <c r="A48" s="5" t="s">
        <v>406</v>
      </c>
      <c r="B48" s="84">
        <v>45851</v>
      </c>
      <c r="D48" s="5" t="s">
        <v>495</v>
      </c>
      <c r="E48" s="102" t="s">
        <v>408</v>
      </c>
      <c r="F48" s="6">
        <v>0.55000000000000004</v>
      </c>
      <c r="G48" s="5" t="s">
        <v>24</v>
      </c>
      <c r="H48" s="5" t="s">
        <v>23</v>
      </c>
      <c r="I48" s="5" t="s">
        <v>23</v>
      </c>
      <c r="J48" s="5" t="s">
        <v>24</v>
      </c>
      <c r="N48" s="5" t="s">
        <v>419</v>
      </c>
    </row>
    <row r="49" spans="1:14" x14ac:dyDescent="0.3">
      <c r="A49" s="5" t="s">
        <v>136</v>
      </c>
      <c r="B49" s="84">
        <v>45867</v>
      </c>
      <c r="C49" s="5" t="s">
        <v>178</v>
      </c>
      <c r="D49" s="5" t="s">
        <v>178</v>
      </c>
      <c r="E49" s="102" t="s">
        <v>421</v>
      </c>
      <c r="F49" s="6">
        <v>0.46</v>
      </c>
      <c r="G49" s="5" t="s">
        <v>24</v>
      </c>
      <c r="H49" s="5" t="s">
        <v>23</v>
      </c>
      <c r="I49" s="5" t="s">
        <v>23</v>
      </c>
      <c r="J49" s="5" t="s">
        <v>24</v>
      </c>
      <c r="K49" s="5">
        <v>124</v>
      </c>
      <c r="L49" s="5" t="s">
        <v>25</v>
      </c>
      <c r="M49" s="5" t="s">
        <v>26</v>
      </c>
    </row>
    <row r="50" spans="1:14" x14ac:dyDescent="0.3">
      <c r="A50" s="5" t="s">
        <v>56</v>
      </c>
      <c r="B50" s="84">
        <v>45870</v>
      </c>
      <c r="C50" s="5" t="s">
        <v>346</v>
      </c>
      <c r="F50" s="90">
        <v>0.375</v>
      </c>
      <c r="G50" s="5" t="s">
        <v>24</v>
      </c>
      <c r="H50" s="5" t="s">
        <v>23</v>
      </c>
      <c r="I50" s="5" t="s">
        <v>23</v>
      </c>
      <c r="J50" s="5" t="s">
        <v>24</v>
      </c>
      <c r="K50" s="5">
        <v>37</v>
      </c>
      <c r="L50" s="5" t="s">
        <v>25</v>
      </c>
      <c r="M50" s="5" t="s">
        <v>26</v>
      </c>
    </row>
    <row r="51" spans="1:14" x14ac:dyDescent="0.3">
      <c r="A51" s="5" t="s">
        <v>36</v>
      </c>
      <c r="B51" s="84">
        <v>45872</v>
      </c>
      <c r="C51" s="5" t="s">
        <v>426</v>
      </c>
      <c r="F51" s="90">
        <v>0.375</v>
      </c>
      <c r="G51" s="5" t="s">
        <v>24</v>
      </c>
      <c r="H51" s="5" t="s">
        <v>23</v>
      </c>
      <c r="I51" s="5" t="s">
        <v>23</v>
      </c>
      <c r="J51" s="5" t="s">
        <v>24</v>
      </c>
      <c r="K51" s="5">
        <v>171</v>
      </c>
      <c r="L51" s="5" t="s">
        <v>25</v>
      </c>
      <c r="M51" s="5" t="s">
        <v>26</v>
      </c>
    </row>
    <row r="52" spans="1:14" x14ac:dyDescent="0.3">
      <c r="A52" s="5" t="s">
        <v>32</v>
      </c>
      <c r="B52" s="82">
        <v>45909</v>
      </c>
      <c r="C52" s="5" t="s">
        <v>443</v>
      </c>
      <c r="E52" s="102" t="s">
        <v>441</v>
      </c>
      <c r="F52" s="90">
        <v>0.375</v>
      </c>
      <c r="G52" s="5" t="s">
        <v>24</v>
      </c>
      <c r="H52" s="5" t="s">
        <v>23</v>
      </c>
      <c r="I52" s="5" t="s">
        <v>23</v>
      </c>
      <c r="J52" s="5" t="s">
        <v>24</v>
      </c>
      <c r="K52" s="5">
        <v>193</v>
      </c>
      <c r="L52" s="5" t="s">
        <v>25</v>
      </c>
      <c r="M52" s="5" t="s">
        <v>26</v>
      </c>
    </row>
    <row r="53" spans="1:14" x14ac:dyDescent="0.3">
      <c r="A53" s="5" t="s">
        <v>56</v>
      </c>
      <c r="B53" s="84">
        <v>45921</v>
      </c>
      <c r="C53" s="5" t="s">
        <v>346</v>
      </c>
      <c r="E53" s="102" t="s">
        <v>456</v>
      </c>
      <c r="F53" s="90">
        <v>0.375</v>
      </c>
      <c r="G53" s="5" t="s">
        <v>24</v>
      </c>
      <c r="H53" s="5" t="s">
        <v>23</v>
      </c>
      <c r="I53" s="5" t="s">
        <v>23</v>
      </c>
      <c r="J53" s="5" t="s">
        <v>24</v>
      </c>
      <c r="K53" s="5">
        <v>59</v>
      </c>
      <c r="L53" s="5" t="s">
        <v>25</v>
      </c>
      <c r="M53" s="5" t="s">
        <v>26</v>
      </c>
    </row>
    <row r="54" spans="1:14" x14ac:dyDescent="0.3">
      <c r="A54" s="5" t="s">
        <v>36</v>
      </c>
      <c r="B54" s="84">
        <v>45921</v>
      </c>
      <c r="C54" s="5" t="s">
        <v>478</v>
      </c>
      <c r="E54" s="102" t="s">
        <v>476</v>
      </c>
      <c r="F54" s="90">
        <v>0.375</v>
      </c>
      <c r="G54" s="5" t="s">
        <v>24</v>
      </c>
      <c r="H54" s="5" t="s">
        <v>23</v>
      </c>
      <c r="I54" s="5" t="s">
        <v>23</v>
      </c>
      <c r="J54" s="5" t="s">
        <v>24</v>
      </c>
      <c r="K54" s="5">
        <v>55</v>
      </c>
      <c r="L54" s="5" t="s">
        <v>25</v>
      </c>
      <c r="M54" s="5" t="s">
        <v>26</v>
      </c>
      <c r="N54" s="5" t="s">
        <v>521</v>
      </c>
    </row>
    <row r="55" spans="1:14" x14ac:dyDescent="0.3">
      <c r="A55" s="5" t="s">
        <v>36</v>
      </c>
      <c r="B55" s="84">
        <v>45925</v>
      </c>
      <c r="C55" s="5" t="s">
        <v>478</v>
      </c>
      <c r="E55" s="102" t="s">
        <v>476</v>
      </c>
      <c r="F55" s="90">
        <v>0.375</v>
      </c>
      <c r="G55" s="5" t="s">
        <v>24</v>
      </c>
      <c r="H55" s="5" t="s">
        <v>23</v>
      </c>
      <c r="I55" s="5" t="s">
        <v>23</v>
      </c>
      <c r="J55" s="5" t="s">
        <v>24</v>
      </c>
      <c r="K55" s="5">
        <v>166</v>
      </c>
      <c r="L55" s="5" t="s">
        <v>25</v>
      </c>
      <c r="M55" s="5" t="s">
        <v>26</v>
      </c>
    </row>
    <row r="56" spans="1:14" x14ac:dyDescent="0.3">
      <c r="A56" s="5" t="s">
        <v>169</v>
      </c>
      <c r="B56" s="84">
        <v>45926</v>
      </c>
      <c r="C56" s="5" t="s">
        <v>346</v>
      </c>
      <c r="E56" s="102" t="s">
        <v>456</v>
      </c>
      <c r="F56" s="90">
        <v>0.375</v>
      </c>
      <c r="G56" s="5" t="s">
        <v>24</v>
      </c>
      <c r="H56" s="5" t="s">
        <v>23</v>
      </c>
      <c r="I56" s="5" t="s">
        <v>23</v>
      </c>
      <c r="J56" s="5" t="s">
        <v>24</v>
      </c>
      <c r="K56" s="5">
        <v>202</v>
      </c>
      <c r="L56" s="5" t="s">
        <v>25</v>
      </c>
      <c r="M56" s="5" t="s">
        <v>26</v>
      </c>
    </row>
    <row r="57" spans="1:14" x14ac:dyDescent="0.3">
      <c r="A57" s="5" t="s">
        <v>32</v>
      </c>
      <c r="B57" s="84">
        <v>45931</v>
      </c>
      <c r="C57" s="5" t="s">
        <v>485</v>
      </c>
      <c r="E57" t="s">
        <v>484</v>
      </c>
      <c r="F57" s="90">
        <v>0.375</v>
      </c>
      <c r="G57" s="5" t="s">
        <v>24</v>
      </c>
      <c r="H57" s="5" t="s">
        <v>23</v>
      </c>
      <c r="I57" s="5" t="s">
        <v>23</v>
      </c>
      <c r="J57" s="5" t="s">
        <v>24</v>
      </c>
      <c r="K57" s="5">
        <v>236</v>
      </c>
      <c r="L57" s="5" t="s">
        <v>25</v>
      </c>
      <c r="M57" s="5" t="s">
        <v>26</v>
      </c>
    </row>
    <row r="58" spans="1:14" x14ac:dyDescent="0.3">
      <c r="A58" s="5" t="s">
        <v>32</v>
      </c>
      <c r="B58" s="84">
        <v>45934</v>
      </c>
      <c r="C58" s="5" t="s">
        <v>519</v>
      </c>
      <c r="E58" t="s">
        <v>484</v>
      </c>
      <c r="F58" s="90">
        <v>0.375</v>
      </c>
      <c r="G58" s="5" t="s">
        <v>24</v>
      </c>
      <c r="H58" s="5" t="s">
        <v>23</v>
      </c>
      <c r="I58" s="5" t="s">
        <v>23</v>
      </c>
      <c r="J58" s="5" t="s">
        <v>24</v>
      </c>
      <c r="K58" s="5">
        <v>24</v>
      </c>
      <c r="L58" s="5" t="s">
        <v>25</v>
      </c>
      <c r="M58" s="5" t="s">
        <v>26</v>
      </c>
      <c r="N58" s="5" t="s">
        <v>522</v>
      </c>
    </row>
    <row r="59" spans="1:14" x14ac:dyDescent="0.3">
      <c r="A59" s="5" t="s">
        <v>36</v>
      </c>
      <c r="B59" s="84">
        <v>45934</v>
      </c>
      <c r="C59" s="5" t="s">
        <v>479</v>
      </c>
      <c r="E59" t="s">
        <v>502</v>
      </c>
      <c r="F59" s="90">
        <v>0.375</v>
      </c>
      <c r="G59" s="5" t="s">
        <v>24</v>
      </c>
      <c r="H59" s="5" t="s">
        <v>23</v>
      </c>
      <c r="I59" s="5" t="s">
        <v>23</v>
      </c>
      <c r="J59" s="5" t="s">
        <v>24</v>
      </c>
      <c r="K59" s="5">
        <v>24</v>
      </c>
      <c r="L59" s="5" t="s">
        <v>25</v>
      </c>
      <c r="M59" s="5" t="s">
        <v>26</v>
      </c>
      <c r="N59" s="5" t="s">
        <v>520</v>
      </c>
    </row>
    <row r="60" spans="1:14" x14ac:dyDescent="0.3">
      <c r="A60" s="5" t="s">
        <v>36</v>
      </c>
      <c r="B60" s="84">
        <v>45934</v>
      </c>
      <c r="C60" s="5" t="s">
        <v>479</v>
      </c>
      <c r="E60" t="s">
        <v>502</v>
      </c>
      <c r="F60" s="90">
        <v>0.375</v>
      </c>
      <c r="G60" s="5" t="s">
        <v>24</v>
      </c>
      <c r="H60" s="5" t="s">
        <v>23</v>
      </c>
      <c r="I60" s="5" t="s">
        <v>23</v>
      </c>
      <c r="J60" s="5" t="s">
        <v>24</v>
      </c>
      <c r="K60" s="5">
        <v>177</v>
      </c>
      <c r="L60" s="5" t="s">
        <v>25</v>
      </c>
      <c r="M60" s="5" t="s">
        <v>26</v>
      </c>
    </row>
    <row r="61" spans="1:14" x14ac:dyDescent="0.3">
      <c r="A61" s="5" t="s">
        <v>32</v>
      </c>
      <c r="B61" s="84">
        <v>45969</v>
      </c>
      <c r="C61" s="5" t="s">
        <v>519</v>
      </c>
      <c r="E61" t="s">
        <v>484</v>
      </c>
      <c r="F61" s="90">
        <v>0.375</v>
      </c>
      <c r="G61" s="5" t="s">
        <v>24</v>
      </c>
      <c r="H61" s="5" t="s">
        <v>23</v>
      </c>
      <c r="I61" s="5" t="s">
        <v>23</v>
      </c>
      <c r="J61" s="5" t="s">
        <v>24</v>
      </c>
      <c r="K61" s="5">
        <v>108</v>
      </c>
      <c r="L61" s="5" t="s">
        <v>25</v>
      </c>
      <c r="M61" s="5" t="s">
        <v>26</v>
      </c>
    </row>
    <row r="62" spans="1:14" x14ac:dyDescent="0.3">
      <c r="A62" s="5" t="s">
        <v>36</v>
      </c>
      <c r="B62" s="84">
        <v>45943</v>
      </c>
      <c r="C62" s="5" t="s">
        <v>503</v>
      </c>
      <c r="E62" t="s">
        <v>502</v>
      </c>
      <c r="F62" s="90">
        <v>0.375</v>
      </c>
      <c r="G62" s="5" t="s">
        <v>24</v>
      </c>
      <c r="H62" s="5" t="s">
        <v>23</v>
      </c>
      <c r="I62" s="5" t="s">
        <v>23</v>
      </c>
      <c r="J62" s="5" t="s">
        <v>24</v>
      </c>
      <c r="K62" s="5">
        <v>192</v>
      </c>
      <c r="L62" s="5" t="s">
        <v>25</v>
      </c>
      <c r="M62" s="5" t="s">
        <v>26</v>
      </c>
    </row>
    <row r="63" spans="1:14" x14ac:dyDescent="0.3">
      <c r="A63" s="5" t="s">
        <v>56</v>
      </c>
      <c r="B63" s="84">
        <v>45953</v>
      </c>
      <c r="C63" s="5" t="s">
        <v>382</v>
      </c>
      <c r="E63" t="s">
        <v>380</v>
      </c>
      <c r="F63" s="90">
        <v>0.375</v>
      </c>
      <c r="G63" s="5" t="s">
        <v>24</v>
      </c>
      <c r="H63" s="5" t="s">
        <v>23</v>
      </c>
      <c r="I63" s="5" t="s">
        <v>23</v>
      </c>
      <c r="J63" s="5" t="s">
        <v>24</v>
      </c>
      <c r="K63" s="5">
        <v>53</v>
      </c>
      <c r="L63" s="5" t="s">
        <v>25</v>
      </c>
      <c r="M63" s="5" t="s">
        <v>26</v>
      </c>
    </row>
    <row r="64" spans="1:14" x14ac:dyDescent="0.3">
      <c r="A64" s="5" t="s">
        <v>56</v>
      </c>
      <c r="B64" s="84">
        <v>45956</v>
      </c>
      <c r="C64" s="5" t="s">
        <v>457</v>
      </c>
      <c r="E64" t="s">
        <v>456</v>
      </c>
      <c r="F64" s="90">
        <v>0.375</v>
      </c>
      <c r="G64" s="5" t="s">
        <v>24</v>
      </c>
      <c r="H64" s="5" t="s">
        <v>23</v>
      </c>
      <c r="I64" s="5" t="s">
        <v>23</v>
      </c>
      <c r="J64" s="5" t="s">
        <v>24</v>
      </c>
      <c r="K64" s="5">
        <v>199</v>
      </c>
      <c r="L64" s="5" t="s">
        <v>25</v>
      </c>
      <c r="M64" s="5" t="s">
        <v>26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5D8D9D-82C8-42F4-AD64-C62FD6F08823}">
          <x14:formula1>
            <xm:f>'קבלת חומרי גלם'!$S$3:$S$10</xm:f>
          </x14:formula1>
          <xm:sqref>A2:A20 A22:A24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A7FB-550F-491B-8952-2500456F1B86}">
  <dimension ref="B2:C9"/>
  <sheetViews>
    <sheetView rightToLeft="1" workbookViewId="0">
      <selection activeCell="J6" sqref="J6"/>
    </sheetView>
  </sheetViews>
  <sheetFormatPr defaultRowHeight="14" x14ac:dyDescent="0.3"/>
  <cols>
    <col min="2" max="2" width="15.83203125" bestFit="1" customWidth="1"/>
    <col min="3" max="3" width="20.1640625" customWidth="1"/>
  </cols>
  <sheetData>
    <row r="2" spans="2:3" ht="25" customHeight="1" x14ac:dyDescent="0.3">
      <c r="B2" t="s">
        <v>42</v>
      </c>
      <c r="C2" t="s">
        <v>138</v>
      </c>
    </row>
    <row r="3" spans="2:3" ht="25" customHeight="1" x14ac:dyDescent="0.3">
      <c r="B3" s="69" t="s">
        <v>169</v>
      </c>
      <c r="C3" t="e">
        <f>SUMIF(ביקבוק[סוג משקה],מלאי_בקבוקים[[#This Row],[סוג משקה]], ביקבוק[כמות בקבוקים]) - SUMIF([1]מכירות25!$X$4:$X$200, מלאי_בקבוקים[[#This Row],[סוג משקה]], [1]מכירות25!$Y$4:$Y$200)</f>
        <v>#VALUE!</v>
      </c>
    </row>
    <row r="4" spans="2:3" ht="25" customHeight="1" x14ac:dyDescent="0.3">
      <c r="B4" t="s">
        <v>36</v>
      </c>
      <c r="C4" t="e">
        <f>SUMIF(ביקבוק[סוג משקה],מלאי_בקבוקים[[#This Row],[סוג משקה]], ביקבוק[כמות בקבוקים]) - SUMIF([1]מכירות25!$X$4:$X$200, מלאי_בקבוקים[[#This Row],[סוג משקה]], [1]מכירות25!$Y$4:$Y$200)</f>
        <v>#VALUE!</v>
      </c>
    </row>
    <row r="5" spans="2:3" ht="25" customHeight="1" x14ac:dyDescent="0.3">
      <c r="B5" t="s">
        <v>32</v>
      </c>
      <c r="C5" t="e">
        <f>SUMIF(ביקבוק[סוג משקה],מלאי_בקבוקים[[#This Row],[סוג משקה]], ביקבוק[כמות בקבוקים]) - SUMIF([1]מכירות25!$X$4:$X$200, מלאי_בקבוקים[[#This Row],[סוג משקה]], [1]מכירות25!$Y$4:$Y$200)</f>
        <v>#VALUE!</v>
      </c>
    </row>
    <row r="6" spans="2:3" ht="25" customHeight="1" x14ac:dyDescent="0.3">
      <c r="B6" t="s">
        <v>56</v>
      </c>
      <c r="C6" t="e">
        <f>SUMIF(ביקבוק[סוג משקה],מלאי_בקבוקים[[#This Row],[סוג משקה]], ביקבוק[כמות בקבוקים]) - SUMIF([1]מכירות25!$X$4:$X$200, מלאי_בקבוקים[[#This Row],[סוג משקה]], [1]מכירות25!$Y$4:$Y$200)</f>
        <v>#VALUE!</v>
      </c>
    </row>
    <row r="7" spans="2:3" ht="25" customHeight="1" x14ac:dyDescent="0.3">
      <c r="B7" t="s">
        <v>136</v>
      </c>
      <c r="C7" t="e">
        <f>SUMIF(ביקבוק[סוג משקה],מלאי_בקבוקים[[#This Row],[סוג משקה]], ביקבוק[כמות בקבוקים]) - SUMIF([1]מכירות25!$X$4:$X$200, מלאי_בקבוקים[[#This Row],[סוג משקה]], [1]מכירות25!$Y$4:$Y$200)</f>
        <v>#VALUE!</v>
      </c>
    </row>
    <row r="8" spans="2:3" ht="25" customHeight="1" x14ac:dyDescent="0.3">
      <c r="B8" t="s">
        <v>137</v>
      </c>
      <c r="C8" t="e">
        <f>SUMIF(ביקבוק[סוג משקה],מלאי_בקבוקים[[#This Row],[סוג משקה]], ביקבוק[כמות בקבוקים]) - SUMIF([1]מכירות25!$X$4:$X$200, מלאי_בקבוקים[[#This Row],[סוג משקה]], [1]מכירות25!$Y$4:$Y$200)</f>
        <v>#VALUE!</v>
      </c>
    </row>
    <row r="9" spans="2:3" ht="25" customHeight="1" x14ac:dyDescent="0.3">
      <c r="B9" t="s">
        <v>68</v>
      </c>
      <c r="C9" t="e">
        <f>SUMIF(ביקבוק[סוג משקה],מלאי_בקבוקים[[#This Row],[סוג משקה]], ביקבוק[כמות בקבוקים]) - SUMIF([1]מכירות25!$X$4:$X$200, מלאי_בקבוקים[[#This Row],[סוג משקה]], [1]מכירות25!$Y$4:$Y$200)</f>
        <v>#VALUE!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7C691-0A9E-4C18-8A3B-D1227CD9D3CC}">
  <dimension ref="B1:G53"/>
  <sheetViews>
    <sheetView rightToLeft="1" workbookViewId="0">
      <pane ySplit="1" topLeftCell="A2" activePane="bottomLeft" state="frozen"/>
      <selection pane="bottomLeft" activeCell="G52" sqref="G52"/>
    </sheetView>
  </sheetViews>
  <sheetFormatPr defaultRowHeight="28.5" customHeight="1" x14ac:dyDescent="0.3"/>
  <cols>
    <col min="3" max="3" width="20.58203125" customWidth="1"/>
    <col min="7" max="7" width="39.33203125" customWidth="1"/>
  </cols>
  <sheetData>
    <row r="1" spans="2:5" ht="28.5" customHeight="1" x14ac:dyDescent="0.3">
      <c r="B1" t="s">
        <v>89</v>
      </c>
      <c r="C1" t="s">
        <v>92</v>
      </c>
      <c r="D1" t="s">
        <v>93</v>
      </c>
      <c r="E1" t="s">
        <v>97</v>
      </c>
    </row>
    <row r="2" spans="2:5" ht="28.5" customHeight="1" x14ac:dyDescent="0.3">
      <c r="C2" s="85" t="s">
        <v>159</v>
      </c>
      <c r="D2" t="s">
        <v>53</v>
      </c>
      <c r="E2">
        <f ca="1">'קבלת תמרים'!H2-תסיסה!K2</f>
        <v>1351</v>
      </c>
    </row>
    <row r="3" spans="2:5" ht="28.5" customHeight="1" x14ac:dyDescent="0.3">
      <c r="C3" s="86" t="s">
        <v>160</v>
      </c>
      <c r="D3" t="s">
        <v>53</v>
      </c>
      <c r="E3">
        <f>תסיסה[]</f>
        <v>0</v>
      </c>
    </row>
    <row r="5" spans="2:5" ht="28.5" customHeight="1" x14ac:dyDescent="0.3">
      <c r="C5" s="71" t="str">
        <f>'קבלת חומרי גלם'!Q3</f>
        <v>בקבוק אובלו (ברנדי)</v>
      </c>
      <c r="D5" t="s">
        <v>94</v>
      </c>
      <c r="E5">
        <f>SUMIF(קבלת_חומרי_גלם[סוג חומר הגלם], 'מלאי חומרי גלם'!C5, קבלת_חומרי_גלם[משקל/כמות '[ק"ג']]) - SUMIF(ביקבוק[סוג משקה], 'קבלת חומרי גלם'!S7,ביקבוק[כמות בקבוקים]) - SUMIF(ביקבוק[סוג משקה], 'קבלת חומרי גלם'!S8,ביקבוק[כמות בקבוקים])</f>
        <v>1381</v>
      </c>
    </row>
    <row r="6" spans="2:5" ht="28.5" customHeight="1" x14ac:dyDescent="0.3">
      <c r="C6" s="71" t="str">
        <f>'קבלת חומרי גלם'!Q4</f>
        <v>בקבוק דמוס (ג'ין, EDV)</v>
      </c>
      <c r="E6">
        <f>SUMIF(קבלת_חומרי_גלם[סוג חומר הגלם], 'מלאי חומרי גלם'!C6, קבלת_חומרי_גלם[משקל/כמות '[ק"ג']]) - SUMIF(ביקבוק[סוג משקה], 'קבלת חומרי גלם'!S3, ביקבוק[כמות בקבוקים]) - SUMIF(ביקבוק[סוג משקה], 'קבלת חומרי גלם'!S5, ביקבוק[כמות בקבוקים])</f>
        <v>-981</v>
      </c>
    </row>
    <row r="7" spans="2:5" ht="28.5" customHeight="1" x14ac:dyDescent="0.3">
      <c r="C7" s="71" t="str">
        <f>'קבלת חומרי גלם'!Q5</f>
        <v>בקבוק לוב (ארק ליקריץ')</v>
      </c>
      <c r="E7">
        <f>SUMIF(קבלת_חומרי_גלם[סוג חומר הגלם], 'מלאי חומרי גלם'!C7, קבלת_חומרי_גלם[משקל/כמות '[ק"ג']]) - SUMIF(ביקבוק[סוג משקה], 'קבלת חומרי גלם'!S4, ביקבוק[כמות בקבוקים]) - SUMIF(ביקבוק[סוג משקה], 'קבלת חומרי גלם'!S6, ביקבוק[כמות בקבוקים])</f>
        <v>-2093</v>
      </c>
    </row>
    <row r="8" spans="2:5" ht="28.5" customHeight="1" x14ac:dyDescent="0.3">
      <c r="C8" s="71" t="str">
        <f>'קבלת חומרי גלם'!Q6</f>
        <v>פקק - דמוס</v>
      </c>
      <c r="E8">
        <f>SUMIF(קבלת_חומרי_גלם[סוג חומר הגלם], 'מלאי חומרי גלם'!C8, קבלת_חומרי_גלם[משקל/כמות '[ק"ג']]) - SUMIF(ביקבוק[סוג משקה], 'קבלת חומרי גלם'!S3, ביקבוק[כמות בקבוקים]) - SUMIF(ביקבוק[סוג משקה], 'קבלת חומרי גלם'!S5, ביקבוק[כמות בקבוקים])</f>
        <v>-1087</v>
      </c>
    </row>
    <row r="9" spans="2:5" ht="28.5" customHeight="1" x14ac:dyDescent="0.3">
      <c r="C9" s="71" t="str">
        <f>'קבלת חומרי גלם'!Q7</f>
        <v>פקק - אובלו, לוב</v>
      </c>
      <c r="E9">
        <f>SUMIF(קבלת_חומרי_גלם[סוג חומר הגלם], 'מלאי חומרי גלם'!C9, קבלת_חומרי_גלם[משקל/כמות '[ק"ג']]) - SUMIF(ביקבוק[סוג משקה], 'קבלת חומרי גלם'!S4, ביקבוק[כמות בקבוקים]) - SUMIF(ביקבוק[סוג משקה], 'קבלת חומרי גלם'!S6, ביקבוק[כמות בקבוקים]) - SUMIF(ביקבוק[סוג משקה], 'קבלת חומרי גלם'!S7, ביקבוק[כמות בקבוקים]) - SUMIF(ביקבוק[סוג משקה], 'קבלת חומרי גלם'!S8, ביקבוק[כמות בקבוקים])</f>
        <v>-1917</v>
      </c>
    </row>
    <row r="10" spans="2:5" ht="28.5" customHeight="1" x14ac:dyDescent="0.3">
      <c r="C10" s="71" t="str">
        <f>'קבלת חומרי גלם'!Q8</f>
        <v>קרטון 6 -  אובלו (ברנדי)</v>
      </c>
    </row>
    <row r="11" spans="2:5" ht="28.5" customHeight="1" x14ac:dyDescent="0.3">
      <c r="C11" s="71" t="str">
        <f>'קבלת חומרי גלם'!Q9</f>
        <v>קרטון 6 - דמוס (ג'ין, EDV)</v>
      </c>
    </row>
    <row r="12" spans="2:5" ht="28.5" customHeight="1" x14ac:dyDescent="0.3">
      <c r="C12" s="71" t="str">
        <f>'קבלת חומרי גלם'!Q10</f>
        <v>קרטון 6 - לוב (ארק ליקריץ')</v>
      </c>
    </row>
    <row r="13" spans="2:5" ht="28.5" customHeight="1" x14ac:dyDescent="0.3">
      <c r="C13" s="71" t="str">
        <f>'קבלת חומרי גלם'!Q11</f>
        <v>קרטון בקבוק יחד</v>
      </c>
    </row>
    <row r="14" spans="2:5" ht="28.5" customHeight="1" x14ac:dyDescent="0.3">
      <c r="C14" s="71" t="str">
        <f>'קבלת חומרי גלם'!Q12</f>
        <v>קרטון 12 אובלו</v>
      </c>
    </row>
    <row r="15" spans="2:5" ht="28.5" customHeight="1" x14ac:dyDescent="0.3">
      <c r="C15" s="71" t="str">
        <f>'קבלת חומרי גלם'!Q13</f>
        <v>קרטון 12 דמוס</v>
      </c>
    </row>
    <row r="16" spans="2:5" ht="28.5" customHeight="1" x14ac:dyDescent="0.3">
      <c r="C16" s="71" t="str">
        <f>'קבלת חומרי גלם'!Q14</f>
        <v>קרטון 12 לוב</v>
      </c>
    </row>
    <row r="17" spans="3:7" ht="28.5" customHeight="1" x14ac:dyDescent="0.3">
      <c r="C17" s="71" t="str">
        <f>'קבלת חומרי גלם'!Q15</f>
        <v>חביות</v>
      </c>
    </row>
    <row r="19" spans="3:7" ht="28.5" customHeight="1" x14ac:dyDescent="0.3">
      <c r="C19" s="70" t="str">
        <f>'קבלת חומרי גלם'!O3</f>
        <v>תויות ערק צוואר</v>
      </c>
      <c r="D19" t="s">
        <v>96</v>
      </c>
      <c r="E19">
        <f>SUMIF(קבלת_חומרי_גלם[סוג חומר הגלם], 'מלאי חומרי גלם'!C19, קבלת_חומרי_גלם[משקל/כמות '[ק"ג']]) - SUMIF(ביקבוק[סוג משקה], 'קבלת חומרי גלם'!S4, ביקבוק[כמות בקבוקים])</f>
        <v>-1936</v>
      </c>
    </row>
    <row r="20" spans="3:7" ht="28.5" customHeight="1" x14ac:dyDescent="0.3">
      <c r="C20" s="70" t="str">
        <f>'קבלת חומרי גלם'!O4</f>
        <v>תויות ערק</v>
      </c>
      <c r="E20">
        <f>SUMIF(קבלת_חומרי_גלם[סוג חומר הגלם], 'מלאי חומרי גלם'!C20, קבלת_חומרי_גלם[משקל/כמות '[ק"ג']]) - SUMIF(ביקבוק[סוג משקה], 'קבלת חומרי גלם'!S4, ביקבוק[כמות בקבוקים])</f>
        <v>-1936</v>
      </c>
      <c r="G20" s="72" t="s">
        <v>141</v>
      </c>
    </row>
    <row r="21" spans="3:7" ht="28.5" customHeight="1" x14ac:dyDescent="0.3">
      <c r="C21" s="70" t="str">
        <f>'קבלת חומרי גלם'!O5</f>
        <v>תויות ליקריץ' צוואר</v>
      </c>
      <c r="E21">
        <f>SUMIF(קבלת_חומרי_גלם[סוג חומר הגלם], 'מלאי חומרי גלם'!C21, קבלת_חומרי_גלם[משקל/כמות '[ק"ג']]) - SUMIF(ביקבוק[סוג משקה], 'קבלת חומרי גלם'!S6, ביקבוק[כמות בקבוקים])</f>
        <v>-157</v>
      </c>
    </row>
    <row r="22" spans="3:7" ht="28.5" customHeight="1" x14ac:dyDescent="0.3">
      <c r="C22" s="70" t="str">
        <f>'קבלת חומרי גלם'!O6</f>
        <v>תויות ליקריץ'</v>
      </c>
      <c r="E22">
        <f>SUMIF(קבלת_חומרי_גלם[סוג חומר הגלם], 'מלאי חומרי גלם'!C22, קבלת_חומרי_גלם[משקל/כמות '[ק"ג']]) - SUMIF(ביקבוק[סוג משקה], 'קבלת חומרי גלם'!S6, ביקבוק[כמות בקבוקים])</f>
        <v>-57</v>
      </c>
      <c r="G22" s="72" t="s">
        <v>141</v>
      </c>
    </row>
    <row r="23" spans="3:7" ht="28.5" customHeight="1" x14ac:dyDescent="0.3">
      <c r="C23" s="70" t="str">
        <f>'קבלת חומרי גלם'!O7</f>
        <v>תויות ג'ין צוואר</v>
      </c>
      <c r="E23">
        <f>SUMIF(קבלת_חומרי_גלם[סוג חומר הגלם], 'מלאי חומרי גלם'!C23, קבלת_חומרי_גלם[משקל/כמות '[ק"ג']]) - SUMIF(ביקבוק[סוג משקה], 'קבלת חומרי גלם'!S5, ביקבוק[כמות בקבוקים])</f>
        <v>-774</v>
      </c>
    </row>
    <row r="24" spans="3:7" ht="28.5" customHeight="1" x14ac:dyDescent="0.3">
      <c r="C24" s="70" t="str">
        <f>'קבלת חומרי גלם'!O8</f>
        <v>תויות ג'ין</v>
      </c>
      <c r="E24">
        <f>SUMIF(קבלת_חומרי_גלם[סוג חומר הגלם], 'מלאי חומרי גלם'!C24, קבלת_חומרי_גלם[משקל/כמות '[ק"ג']]) - SUMIF(ביקבוק[סוג משקה], 'קבלת חומרי גלם'!S5, ביקבוק[כמות בקבוקים])</f>
        <v>-748</v>
      </c>
    </row>
    <row r="25" spans="3:7" ht="28.5" customHeight="1" x14ac:dyDescent="0.3">
      <c r="C25" s="70" t="str">
        <f>'קבלת חומרי גלם'!O9</f>
        <v>תויות EDV צוואר</v>
      </c>
      <c r="E25">
        <f>SUMIF(קבלת_חומרי_גלם[סוג חומר הגלם], 'מלאי חומרי גלם'!C25, קבלת_חומרי_גלם[משקל/כמות '[ק"ג']]) - SUMIF(ביקבוק[סוג משקה], 'קבלת חומרי גלם'!S3, ביקבוק[כמות בקבוקים])</f>
        <v>87</v>
      </c>
    </row>
    <row r="26" spans="3:7" ht="28.5" customHeight="1" x14ac:dyDescent="0.3">
      <c r="C26" s="70" t="str">
        <f>'קבלת חומרי גלם'!O10</f>
        <v xml:space="preserve">תויות EDV </v>
      </c>
      <c r="E26">
        <f>SUMIF(קבלת_חומרי_גלם[סוג חומר הגלם], 'מלאי חומרי גלם'!C26, קבלת_חומרי_גלם[משקל/כמות '[ק"ג']]) - SUMIF(ביקבוק[סוג משקה], 'קבלת חומרי גלם'!S3, ביקבוק[כמות בקבוקים])</f>
        <v>87</v>
      </c>
    </row>
    <row r="27" spans="3:7" ht="28.5" customHeight="1" x14ac:dyDescent="0.3">
      <c r="C27" s="70" t="str">
        <f>'קבלת חומרי גלם'!O11</f>
        <v>תויות ברנדי VS צוואר</v>
      </c>
      <c r="E27">
        <f>SUMIF(קבלת_חומרי_גלם[סוג חומר הגלם], 'מלאי חומרי גלם'!C27, קבלת_חומרי_גלם[משקל/כמות '[ק"ג']]) - SUMIF(ביקבוק[סוג משקה], 'קבלת חומרי גלם'!S7, ביקבוק[כמות בקבוקים])</f>
        <v>628</v>
      </c>
    </row>
    <row r="28" spans="3:7" ht="28.5" customHeight="1" x14ac:dyDescent="0.3">
      <c r="C28" s="70" t="str">
        <f>'קבלת חומרי גלם'!O12</f>
        <v>תויות ברנדי VS</v>
      </c>
      <c r="E28">
        <f>SUMIF(קבלת_חומרי_גלם[סוג חומר הגלם], 'מלאי חומרי גלם'!C28, קבלת_חומרי_גלם[משקל/כמות '[ק"ג']]) - SUMIF(ביקבוק[סוג משקה], 'קבלת חומרי גלם'!S7, ביקבוק[כמות בקבוקים])</f>
        <v>628</v>
      </c>
    </row>
    <row r="29" spans="3:7" ht="28.5" customHeight="1" x14ac:dyDescent="0.3">
      <c r="C29" s="70" t="str">
        <f>'קבלת חומרי גלם'!O13</f>
        <v>תויות ברנדי VSOP צוואר</v>
      </c>
      <c r="E29">
        <f>SUMIF(קבלת_חומרי_גלם[סוג חומר הגלם], 'מלאי חומרי גלם'!C29, קבלת_חומרי_גלם[משקל/כמות '[ק"ג']]) - SUMIF(ביקבוק[סוג משקה], 'קבלת חומרי גלם'!S8,ביקבוק[כמות בקבוקים])</f>
        <v>1000</v>
      </c>
    </row>
    <row r="30" spans="3:7" ht="28.5" customHeight="1" x14ac:dyDescent="0.3">
      <c r="C30" s="70" t="str">
        <f>'קבלת חומרי גלם'!O14</f>
        <v>תויות ברנדי VSOP</v>
      </c>
      <c r="E30">
        <f>SUMIF(קבלת_חומרי_גלם[סוג חומר הגלם], 'מלאי חומרי גלם'!C30, קבלת_חומרי_גלם[משקל/כמות '[ק"ג']]) - SUMIF(ביקבוק[סוג משקה], 'קבלת חומרי גלם'!S8,ביקבוק[כמות בקבוקים])</f>
        <v>1000</v>
      </c>
    </row>
    <row r="31" spans="3:7" ht="28.5" customHeight="1" x14ac:dyDescent="0.3">
      <c r="C31" s="70" t="str">
        <f>'קבלת חומרי גלם'!O15</f>
        <v>תוית פקק נחושת</v>
      </c>
      <c r="E31">
        <f>SUMIF(קבלת_חומרי_גלם[סוג חומר הגלם], 'מלאי חומרי גלם'!C31, קבלת_חומרי_גלם[משקל/כמות '[ק"ג']]) - SUMIF(ביקבוק[סוג משקה], 'קבלת חומרי גלם'!S4, ביקבוק[כמות בקבוקים]) - SUMIF(ביקבוק[סוג משקה], 'קבלת חומרי גלם'!S6, ביקבוק[כמות בקבוקים]) - SUMIF(ביקבוק[סוג משקה], 'קבלת חומרי גלם'!S7, ביקבוק[כמות בקבוקים]) - SUMIF(ביקבוק[סוג משקה], 'קבלת חומרי גלם'!S8, ביקבוק[כמות בקבוקים])</f>
        <v>-132</v>
      </c>
    </row>
    <row r="32" spans="3:7" ht="28.5" customHeight="1" x14ac:dyDescent="0.3">
      <c r="C32" s="70" t="str">
        <f>'קבלת חומרי גלם'!O16</f>
        <v>תוית פקק זהב</v>
      </c>
      <c r="E32">
        <f>SUMIF(קבלת_חומרי_גלם[סוג חומר הגלם], 'מלאי חומרי גלם'!C8, קבלת_חומרי_גלם[משקל/כמות '[ק"ג']]) - SUMIF(ביקבוק[סוג משקה], 'קבלת חומרי גלם'!S3, ביקבוק[כמות בקבוקים]) - SUMIF(ביקבוק[סוג משקה], 'קבלת חומרי גלם'!S5, ביקבוק[כמות בקבוקים])</f>
        <v>-1087</v>
      </c>
    </row>
    <row r="33" spans="2:5" ht="12" customHeight="1" x14ac:dyDescent="0.3">
      <c r="B33" t="s">
        <v>36</v>
      </c>
    </row>
    <row r="34" spans="2:5" ht="28.5" customHeight="1" x14ac:dyDescent="0.3">
      <c r="C34" s="10" t="str">
        <f>'קבלת חומרי גלם'!M4</f>
        <v>זרעי אניס</v>
      </c>
      <c r="E34">
        <f>SUMIF(קבלת_חומרי_גלם[סוג חומר הגלם], 'מלאי חומרי גלם'!C34, קבלת_חומרי_גלם[משקל/כמות '[ק"ג']]) - COUNTIF(זיקוק_2[סוג], "ערק")*0.5</f>
        <v>-6.06</v>
      </c>
    </row>
    <row r="35" spans="2:5" ht="28.5" customHeight="1" x14ac:dyDescent="0.3">
      <c r="C35" s="13" t="str">
        <f>'קבלת חומרי גלם'!M3</f>
        <v>כוכב אניס</v>
      </c>
      <c r="E35">
        <f>SUMIF(קבלת_חומרי_גלם[סוג חומר הגלם], 'מלאי חומרי גלם'!C35, קבלת_חומרי_גלם[משקל/כמות '[ק"ג']]) - COUNTIF(זיקוק_2[סוג], "ערק")*0.5</f>
        <v>-5.6899999999999995</v>
      </c>
    </row>
    <row r="36" spans="2:5" ht="12" customHeight="1" x14ac:dyDescent="0.3">
      <c r="B36" t="s">
        <v>56</v>
      </c>
    </row>
    <row r="37" spans="2:5" ht="28.5" customHeight="1" x14ac:dyDescent="0.3">
      <c r="C37" s="10" t="str">
        <f>'קבלת חומרי גלם'!M5</f>
        <v>ליקריץ</v>
      </c>
      <c r="E37">
        <f>SUMIF(קבלת_חומרי_גלם[סוג חומר הגלם], 'מלאי חומרי גלם'!C37, קבלת_חומרי_גלם[משקל/כמות '[ק"ג']]) - COUNTIF(ביקבוק!A4:A7, 'מלאי חומרי גלם'!C37)*0.5</f>
        <v>400.6</v>
      </c>
    </row>
    <row r="38" spans="2:5" ht="12" customHeight="1" x14ac:dyDescent="0.3">
      <c r="B38" t="s">
        <v>32</v>
      </c>
    </row>
    <row r="39" spans="2:5" ht="28.5" customHeight="1" x14ac:dyDescent="0.3">
      <c r="C39" s="13" t="str">
        <f>'קבלת חומרי גלם'!M6</f>
        <v>ערער</v>
      </c>
      <c r="E39">
        <f>SUMIF(קבלת_חומרי_גלם[סוג חומר הגלם], 'מלאי חומרי גלם'!C39, קבלת_חומרי_גלם[משקל/כמות '[ק"ג']]) - COUNTIF(זיקוק_2[סוג], 'קבלת חומרי גלם'!S5)*1.25</f>
        <v>-9.07</v>
      </c>
    </row>
    <row r="40" spans="2:5" ht="28.5" customHeight="1" x14ac:dyDescent="0.3">
      <c r="C40" s="13" t="str">
        <f>'קבלת חומרי גלם'!M7</f>
        <v>הל</v>
      </c>
      <c r="E40">
        <f>SUMIF(קבלת_חומרי_גלם[סוג חומר הגלם], 'מלאי חומרי גלם'!C40, קבלת_חומרי_גלם[משקל/כמות '[ק"ג']]) - COUNTIF(זיקוק_2[סוג], 'קבלת חומרי גלם'!S5)*0.01</f>
        <v>0.55000000000000004</v>
      </c>
    </row>
    <row r="41" spans="2:5" ht="28.5" customHeight="1" x14ac:dyDescent="0.3">
      <c r="C41" s="13" t="str">
        <f>'קבלת חומרי גלם'!M8</f>
        <v>קינמון</v>
      </c>
      <c r="E41">
        <f>SUMIF(קבלת_חומרי_גלם[סוג חומר הגלם], 'מלאי חומרי גלם'!C41, קבלת_חומרי_גלם[משקל/כמות '[ק"ג']]) - COUNTIF(זיקוק_2[סוג], 'קבלת חומרי גלם'!S5)*0.005</f>
        <v>0.28000000000000003</v>
      </c>
    </row>
    <row r="42" spans="2:5" ht="28.5" customHeight="1" x14ac:dyDescent="0.3">
      <c r="C42" s="13" t="str">
        <f>'קבלת חומרי גלם'!M9</f>
        <v>קמומיל</v>
      </c>
      <c r="E42">
        <f>SUMIF(קבלת_חומרי_גלם[סוג חומר הגלם], 'מלאי חומרי גלם'!C42, קבלת_חומרי_גלם[משקל/כמות '[ק"ג']]) - COUNTIF(זיקוק_2[סוג], 'קבלת חומרי גלם'!S5)*0.003</f>
        <v>0.85599999999999998</v>
      </c>
    </row>
    <row r="43" spans="2:5" ht="28.5" customHeight="1" x14ac:dyDescent="0.3">
      <c r="C43" s="13" t="str">
        <f>'קבלת חומרי גלם'!M10</f>
        <v>זרעי כוסברה</v>
      </c>
      <c r="E43">
        <f>SUMIF(קבלת_חומרי_גלם[סוג חומר הגלם], 'מלאי חומרי גלם'!C43, קבלת_חומרי_גלם[משקל/כמות '[ק"ג']]) - COUNTIF(זיקוק_2[סוג], 'קבלת חומרי גלם'!S5)*0.015</f>
        <v>1.08</v>
      </c>
    </row>
    <row r="44" spans="2:5" ht="28.5" customHeight="1" x14ac:dyDescent="0.3">
      <c r="C44" s="13" t="str">
        <f>'קבלת חומרי גלם'!M11</f>
        <v>פירות הדר תפוז</v>
      </c>
      <c r="E44">
        <f>SUMIF(קבלת_חומרי_גלם[סוג חומר הגלם], 'מלאי חומרי גלם'!C44, קבלת_חומרי_גלם[משקל/כמות '[ק"ג']]) - COUNTIF(זיקוק_2[סוג], 'קבלת חומרי גלם'!S5)*0.007</f>
        <v>1.264</v>
      </c>
    </row>
    <row r="45" spans="2:5" ht="28.5" customHeight="1" x14ac:dyDescent="0.3">
      <c r="C45" s="13" t="str">
        <f>'קבלת חומרי גלם'!M12</f>
        <v>פירות הדר לימון</v>
      </c>
      <c r="E45">
        <f>SUMIF(קבלת_חומרי_גלם[סוג חומר הגלם], 'מלאי חומרי גלם'!C45, קבלת_חומרי_גלם[משקל/כמות '[ק"ג']]) - COUNTIF(זיקוק_2[סוג], 'קבלת חומרי גלם'!S5)*0.007</f>
        <v>0.184</v>
      </c>
    </row>
    <row r="46" spans="2:5" ht="28.5" customHeight="1" x14ac:dyDescent="0.3">
      <c r="C46" s="13" t="str">
        <f>'קבלת חומרי גלם'!M13</f>
        <v>פרעושית</v>
      </c>
      <c r="E46">
        <f>SUMIF(קבלת_חומרי_גלם[סוג חומר הגלם], 'מלאי חומרי גלם'!C46, קבלת_חומרי_גלם[משקל/כמות '[ק"ג']]) - COUNTIF(זיקוק_2[סוג], 'קבלת חומרי גלם'!S5)*0.003</f>
        <v>-2.4E-2</v>
      </c>
    </row>
    <row r="47" spans="2:5" ht="28.5" customHeight="1" x14ac:dyDescent="0.3">
      <c r="C47" s="13" t="str">
        <f>'קבלת חומרי גלם'!M14</f>
        <v>כוכב ריחני</v>
      </c>
      <c r="E47">
        <f>SUMIF(קבלת_חומרי_גלם[סוג חומר הגלם], 'מלאי חומרי גלם'!C47, קבלת_חומרי_גלם[משקל/כמות '[ק"ג']]) - COUNTIF(זיקוק_2[סוג], 'קבלת חומרי גלם'!S5)*0.003</f>
        <v>-2.4E-2</v>
      </c>
    </row>
    <row r="48" spans="2:5" ht="28.5" customHeight="1" x14ac:dyDescent="0.3">
      <c r="C48" s="13" t="str">
        <f>'קבלת חומרי גלם'!M15</f>
        <v>שיזף</v>
      </c>
      <c r="E48">
        <f>SUMIF(קבלת_חומרי_גלם[סוג חומר הגלם], 'מלאי חומרי גלם'!C48, קבלת_חומרי_גלם[משקל/כמות '[ק"ג']]) - COUNTIF(זיקוק_2[סוג], 'קבלת חומרי גלם'!S5)*0.035</f>
        <v>3.41</v>
      </c>
    </row>
    <row r="49" spans="2:3" ht="12" customHeight="1" x14ac:dyDescent="0.3">
      <c r="B49" t="s">
        <v>68</v>
      </c>
    </row>
    <row r="50" spans="2:3" ht="28.5" customHeight="1" x14ac:dyDescent="0.3">
      <c r="C50" s="13" t="str">
        <f>'קבלת חומרי גלם'!M16</f>
        <v>חרובים</v>
      </c>
    </row>
    <row r="51" spans="2:3" ht="28.5" customHeight="1" x14ac:dyDescent="0.3">
      <c r="C51" s="13" t="str">
        <f>'קבלת חומרי גלם'!M17</f>
        <v xml:space="preserve">קטלב </v>
      </c>
    </row>
    <row r="52" spans="2:3" ht="28.5" customHeight="1" x14ac:dyDescent="0.3">
      <c r="C52" s="13" t="str">
        <f>'קבלת חומרי גלם'!M18</f>
        <v>אשחר</v>
      </c>
    </row>
    <row r="53" spans="2:3" ht="28.5" customHeight="1" x14ac:dyDescent="0.3">
      <c r="C53" s="13" t="str">
        <f>'קבלת חומרי גלם'!M19</f>
        <v>אלה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1F4F3-524E-47DE-A73F-05A61A1B5AB1}">
  <dimension ref="A1:AF25"/>
  <sheetViews>
    <sheetView rightToLeft="1" workbookViewId="0">
      <selection activeCell="G9" sqref="G9"/>
    </sheetView>
  </sheetViews>
  <sheetFormatPr defaultRowHeight="14" x14ac:dyDescent="0.3"/>
  <cols>
    <col min="2" max="2" width="18.08203125" customWidth="1"/>
    <col min="3" max="3" width="23.33203125" customWidth="1"/>
    <col min="4" max="4" width="25.9140625" customWidth="1"/>
    <col min="5" max="32" width="8.6640625" style="20"/>
  </cols>
  <sheetData>
    <row r="1" spans="1:32" s="9" customFormat="1" ht="14.5" thickBot="1" x14ac:dyDescent="0.35">
      <c r="A1" s="38" t="s">
        <v>50</v>
      </c>
      <c r="B1" s="39" t="s">
        <v>51</v>
      </c>
      <c r="C1" s="40" t="s">
        <v>174</v>
      </c>
      <c r="D1" s="40" t="s">
        <v>52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</row>
    <row r="2" spans="1:32" ht="14.5" thickBot="1" x14ac:dyDescent="0.35">
      <c r="B2" s="104" t="s">
        <v>36</v>
      </c>
      <c r="C2" s="105"/>
      <c r="D2" s="105"/>
    </row>
    <row r="3" spans="1:32" x14ac:dyDescent="0.3">
      <c r="A3" t="s">
        <v>53</v>
      </c>
      <c r="B3" s="10" t="s">
        <v>54</v>
      </c>
      <c r="C3" s="11">
        <v>0.5</v>
      </c>
      <c r="D3" s="12">
        <f>C3*4.16666667</f>
        <v>2.0833333349999998</v>
      </c>
    </row>
    <row r="4" spans="1:32" x14ac:dyDescent="0.3">
      <c r="A4" t="s">
        <v>53</v>
      </c>
      <c r="B4" s="13" t="s">
        <v>55</v>
      </c>
      <c r="C4" s="14">
        <v>0.5</v>
      </c>
      <c r="D4" s="15">
        <f t="shared" ref="D4:D19" si="0">C4*4.16666667</f>
        <v>2.0833333349999998</v>
      </c>
    </row>
    <row r="5" spans="1:32" ht="14.5" thickBot="1" x14ac:dyDescent="0.35"/>
    <row r="6" spans="1:32" ht="14.5" thickBot="1" x14ac:dyDescent="0.35">
      <c r="B6" s="106" t="s">
        <v>56</v>
      </c>
      <c r="C6" s="107"/>
      <c r="D6" s="107"/>
    </row>
    <row r="7" spans="1:32" x14ac:dyDescent="0.3">
      <c r="B7" s="10" t="s">
        <v>56</v>
      </c>
      <c r="C7" s="11"/>
      <c r="D7" s="17">
        <f t="shared" si="0"/>
        <v>0</v>
      </c>
    </row>
    <row r="8" spans="1:32" ht="14.5" thickBot="1" x14ac:dyDescent="0.35"/>
    <row r="9" spans="1:32" ht="14.5" thickBot="1" x14ac:dyDescent="0.35">
      <c r="B9" s="108" t="s">
        <v>32</v>
      </c>
      <c r="C9" s="109"/>
      <c r="D9" s="109"/>
    </row>
    <row r="10" spans="1:32" x14ac:dyDescent="0.3">
      <c r="A10" t="s">
        <v>53</v>
      </c>
      <c r="B10" s="13" t="s">
        <v>57</v>
      </c>
      <c r="C10" s="14">
        <v>1.2</v>
      </c>
      <c r="D10" s="12">
        <f>C10*4.16666667</f>
        <v>5.0000000039999994</v>
      </c>
    </row>
    <row r="11" spans="1:32" x14ac:dyDescent="0.3">
      <c r="A11" t="s">
        <v>58</v>
      </c>
      <c r="B11" s="10" t="s">
        <v>59</v>
      </c>
      <c r="C11" s="11">
        <v>0.1</v>
      </c>
      <c r="D11" s="12">
        <f t="shared" si="0"/>
        <v>0.41666666699999999</v>
      </c>
    </row>
    <row r="12" spans="1:32" x14ac:dyDescent="0.3">
      <c r="A12" t="s">
        <v>58</v>
      </c>
      <c r="B12" s="13" t="s">
        <v>60</v>
      </c>
      <c r="C12" s="14">
        <v>7.0000000000000007E-2</v>
      </c>
      <c r="D12" s="12">
        <f t="shared" si="0"/>
        <v>0.29166666689999998</v>
      </c>
    </row>
    <row r="13" spans="1:32" x14ac:dyDescent="0.3">
      <c r="A13" t="s">
        <v>58</v>
      </c>
      <c r="B13" s="13" t="s">
        <v>61</v>
      </c>
      <c r="C13" s="14">
        <v>7.0000000000000007E-2</v>
      </c>
      <c r="D13" s="12">
        <f t="shared" si="0"/>
        <v>0.29166666689999998</v>
      </c>
    </row>
    <row r="14" spans="1:32" x14ac:dyDescent="0.3">
      <c r="A14" t="s">
        <v>58</v>
      </c>
      <c r="B14" s="13" t="s">
        <v>62</v>
      </c>
      <c r="C14" s="18">
        <v>0.05</v>
      </c>
      <c r="D14" s="12">
        <f t="shared" si="0"/>
        <v>0.2083333335</v>
      </c>
    </row>
    <row r="15" spans="1:32" x14ac:dyDescent="0.3">
      <c r="A15" t="s">
        <v>58</v>
      </c>
      <c r="B15" s="13" t="s">
        <v>63</v>
      </c>
      <c r="C15" s="14">
        <v>0.15</v>
      </c>
      <c r="D15" s="12">
        <f t="shared" si="0"/>
        <v>0.62500000049999993</v>
      </c>
    </row>
    <row r="16" spans="1:32" x14ac:dyDescent="0.3">
      <c r="A16" t="s">
        <v>58</v>
      </c>
      <c r="B16" s="13" t="s">
        <v>64</v>
      </c>
      <c r="C16" s="18">
        <v>0.03</v>
      </c>
      <c r="D16" s="12">
        <f t="shared" si="0"/>
        <v>0.12500000009999998</v>
      </c>
    </row>
    <row r="17" spans="1:4" x14ac:dyDescent="0.3">
      <c r="A17" t="s">
        <v>58</v>
      </c>
      <c r="B17" s="13" t="s">
        <v>65</v>
      </c>
      <c r="C17" s="18">
        <v>0.3</v>
      </c>
      <c r="D17" s="12">
        <f t="shared" si="0"/>
        <v>1.2500000009999999</v>
      </c>
    </row>
    <row r="18" spans="1:4" x14ac:dyDescent="0.3">
      <c r="A18" t="s">
        <v>58</v>
      </c>
      <c r="B18" s="13" t="s">
        <v>66</v>
      </c>
      <c r="C18" s="18">
        <v>0.03</v>
      </c>
      <c r="D18" s="12">
        <f t="shared" si="0"/>
        <v>0.12500000009999998</v>
      </c>
    </row>
    <row r="19" spans="1:4" x14ac:dyDescent="0.3">
      <c r="A19" t="s">
        <v>58</v>
      </c>
      <c r="B19" s="13" t="s">
        <v>67</v>
      </c>
      <c r="C19" s="18">
        <v>0.03</v>
      </c>
      <c r="D19" s="12">
        <f t="shared" si="0"/>
        <v>0.12500000009999998</v>
      </c>
    </row>
    <row r="20" spans="1:4" ht="14.5" thickBot="1" x14ac:dyDescent="0.35"/>
    <row r="21" spans="1:4" ht="14.5" thickBot="1" x14ac:dyDescent="0.35">
      <c r="B21" s="110" t="s">
        <v>68</v>
      </c>
      <c r="C21" s="111"/>
      <c r="D21" s="111"/>
    </row>
    <row r="22" spans="1:4" x14ac:dyDescent="0.3">
      <c r="B22" s="13" t="s">
        <v>69</v>
      </c>
      <c r="C22" s="14"/>
      <c r="D22" s="17">
        <f>C22*4.16666667</f>
        <v>0</v>
      </c>
    </row>
    <row r="23" spans="1:4" x14ac:dyDescent="0.3">
      <c r="B23" s="10" t="s">
        <v>70</v>
      </c>
      <c r="C23" s="11"/>
      <c r="D23" s="17">
        <f>C23*4.16666667</f>
        <v>0</v>
      </c>
    </row>
    <row r="24" spans="1:4" x14ac:dyDescent="0.3">
      <c r="B24" s="13" t="s">
        <v>71</v>
      </c>
      <c r="C24" s="14"/>
      <c r="D24" s="17">
        <f>C24*4.16666667</f>
        <v>0</v>
      </c>
    </row>
    <row r="25" spans="1:4" x14ac:dyDescent="0.3">
      <c r="B25" s="13"/>
      <c r="C25" s="18"/>
      <c r="D25" s="17">
        <f>C25*4.16666667</f>
        <v>0</v>
      </c>
    </row>
  </sheetData>
  <mergeCells count="4">
    <mergeCell ref="B2:D2"/>
    <mergeCell ref="B6:D6"/>
    <mergeCell ref="B9:D9"/>
    <mergeCell ref="B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קבלת חומרי גלם</vt:lpstr>
      <vt:lpstr>קבלת תמרים</vt:lpstr>
      <vt:lpstr>תסיסה</vt:lpstr>
      <vt:lpstr>זיקוק 1</vt:lpstr>
      <vt:lpstr>זיקוק 2</vt:lpstr>
      <vt:lpstr>ביקבוק</vt:lpstr>
      <vt:lpstr>מלאי בקבוקים</vt:lpstr>
      <vt:lpstr>מלאי חומרי גלם</vt:lpstr>
      <vt:lpstr>תבלינים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יונתן גרעיני</dc:creator>
  <cp:lastModifiedBy>יונתן גרעיני</cp:lastModifiedBy>
  <dcterms:created xsi:type="dcterms:W3CDTF">2024-12-22T17:40:56Z</dcterms:created>
  <dcterms:modified xsi:type="dcterms:W3CDTF">2026-02-08T01:44:35Z</dcterms:modified>
</cp:coreProperties>
</file>